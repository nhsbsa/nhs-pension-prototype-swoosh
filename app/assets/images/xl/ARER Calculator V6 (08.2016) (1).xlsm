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fileSharing readOnlyRecommended="1" userName="John Twiss" reservationPassword="CD6C"/>
  <workbookPr codeName="ThisWorkbook" defaultThemeVersion="124226"/>
  <bookViews>
    <workbookView showSheetTabs="0" xWindow="-630" yWindow="105" windowWidth="19440" windowHeight="7110" tabRatio="768"/>
  </bookViews>
  <sheets>
    <sheet name="Input" sheetId="10" r:id="rId1"/>
    <sheet name="CER 1995 NRA 55" sheetId="1" state="hidden" r:id="rId2"/>
    <sheet name="CER 1995" sheetId="2" state="hidden" r:id="rId3"/>
    <sheet name="CER 2008" sheetId="13" state="hidden" r:id="rId4"/>
    <sheet name="VER Factors" sheetId="9" state="hidden" r:id="rId5"/>
    <sheet name="CER Factors" sheetId="8" state="hidden" r:id="rId6"/>
    <sheet name="CER 2008 OPTANT" sheetId="21" state="hidden" r:id="rId7"/>
    <sheet name="CER 2015" sheetId="19" state="hidden" r:id="rId8"/>
  </sheets>
  <definedNames>
    <definedName name="_xlnm.Print_Area" localSheetId="2">'CER 1995'!$B$1:$M$78</definedName>
    <definedName name="_xlnm.Print_Area" localSheetId="3">'CER 2008'!$B$3:$M$73</definedName>
    <definedName name="_xlnm.Print_Area" localSheetId="6">'CER 2008 OPTANT'!$B$3:$M$85</definedName>
    <definedName name="_xlnm.Print_Area" localSheetId="7">'CER 2015'!$B$3:$M$74</definedName>
    <definedName name="_xlnm.Print_Area" localSheetId="0">Input!$A$1:$H$39</definedName>
  </definedNames>
  <calcPr calcId="125725"/>
</workbook>
</file>

<file path=xl/calcChain.xml><?xml version="1.0" encoding="utf-8"?>
<calcChain xmlns="http://schemas.openxmlformats.org/spreadsheetml/2006/main">
  <c r="C22" i="10"/>
  <c r="C18"/>
  <c r="C20"/>
  <c r="C32"/>
  <c r="C30"/>
  <c r="J23" i="21"/>
  <c r="D32" i="19"/>
  <c r="D29"/>
  <c r="J21" i="13"/>
  <c r="F14" i="10"/>
  <c r="F12"/>
  <c r="J18" i="2" l="1"/>
  <c r="D30" i="21"/>
  <c r="C16" i="10"/>
  <c r="D37"/>
  <c r="C21" l="1"/>
  <c r="L8" i="19"/>
  <c r="J8"/>
  <c r="J12" i="21" l="1"/>
  <c r="F23" s="1"/>
  <c r="D12"/>
  <c r="D10"/>
  <c r="J6"/>
  <c r="D6"/>
  <c r="F24" l="1"/>
  <c r="F26" s="1"/>
  <c r="D29" s="1"/>
  <c r="E14"/>
  <c r="J10"/>
  <c r="J12" i="19"/>
  <c r="D12"/>
  <c r="D10"/>
  <c r="J6"/>
  <c r="D6"/>
  <c r="F27" i="21" l="1"/>
  <c r="D34" s="1"/>
  <c r="G14"/>
  <c r="J21" s="1"/>
  <c r="E14" i="19"/>
  <c r="J10"/>
  <c r="D19" i="21" l="1"/>
  <c r="J20"/>
  <c r="E16"/>
  <c r="G16" s="1"/>
  <c r="G14" i="19"/>
  <c r="G16" s="1"/>
  <c r="D20" i="21"/>
  <c r="D18"/>
  <c r="J30" l="1"/>
  <c r="E16" i="19"/>
  <c r="D18" s="1"/>
  <c r="J29" s="1"/>
  <c r="J34" s="1"/>
  <c r="D49" i="10" l="1"/>
  <c r="J36" i="21" l="1"/>
  <c r="D43" i="10"/>
  <c r="J29" i="21" l="1"/>
  <c r="D45" i="10"/>
  <c r="D47"/>
  <c r="D31" i="21"/>
  <c r="D32" s="1"/>
  <c r="D30" i="19"/>
  <c r="J31" i="21" l="1"/>
  <c r="D33"/>
  <c r="J32" i="19"/>
  <c r="J34" i="21"/>
  <c r="D31" i="19"/>
  <c r="J32" i="21" l="1"/>
  <c r="J30" i="19"/>
  <c r="J33" i="21"/>
  <c r="J12" i="13"/>
  <c r="F21" s="1"/>
  <c r="D12"/>
  <c r="D10"/>
  <c r="J6"/>
  <c r="D6"/>
  <c r="J4" i="2"/>
  <c r="D4"/>
  <c r="J10"/>
  <c r="F18" s="1"/>
  <c r="D8"/>
  <c r="F19" l="1"/>
  <c r="F21" s="1"/>
  <c r="D25" s="1"/>
  <c r="F22" i="13"/>
  <c r="F24" s="1"/>
  <c r="D27" s="1"/>
  <c r="J31" i="19"/>
  <c r="E14" i="13"/>
  <c r="J8" i="2"/>
  <c r="E10"/>
  <c r="G26" i="10" s="1"/>
  <c r="J10" i="13"/>
  <c r="F26" i="10" l="1"/>
  <c r="C27" s="1"/>
  <c r="F25" i="13"/>
  <c r="D30" s="1"/>
  <c r="F23" i="2"/>
  <c r="D30" s="1"/>
  <c r="F22"/>
  <c r="G10"/>
  <c r="D15" s="1"/>
  <c r="G14" i="13"/>
  <c r="D18" s="1"/>
  <c r="D26" i="2" l="1"/>
  <c r="D27" s="1"/>
  <c r="D28" s="1"/>
  <c r="D28" i="13"/>
  <c r="J30" i="2"/>
  <c r="D19" i="13"/>
  <c r="J32" s="1"/>
  <c r="D14" i="2"/>
  <c r="J27" i="13"/>
  <c r="E16"/>
  <c r="G16" s="1"/>
  <c r="J30" l="1"/>
  <c r="D35" i="10" s="1"/>
  <c r="D29" i="13"/>
  <c r="D29" i="2"/>
  <c r="J28" i="13"/>
  <c r="J29" l="1"/>
  <c r="J26" i="2" l="1"/>
  <c r="D30" i="10" s="1"/>
  <c r="J25" i="2"/>
  <c r="D29" i="10" s="1"/>
  <c r="E12" i="2"/>
  <c r="J27" l="1"/>
  <c r="D31" i="10" s="1"/>
  <c r="J32" i="2"/>
  <c r="G12"/>
  <c r="J28" l="1"/>
  <c r="D32" i="10" s="1"/>
  <c r="J29" i="2"/>
  <c r="D33" i="10" s="1"/>
</calcChain>
</file>

<file path=xl/sharedStrings.xml><?xml version="1.0" encoding="utf-8"?>
<sst xmlns="http://schemas.openxmlformats.org/spreadsheetml/2006/main" count="343" uniqueCount="212">
  <si>
    <t>Compulsory Early Retirement of a 1995 section member NRA55</t>
  </si>
  <si>
    <t>Members Name:-</t>
  </si>
  <si>
    <t>SD Number:-</t>
  </si>
  <si>
    <t>Section: 1995</t>
  </si>
  <si>
    <t>NPA: 55</t>
  </si>
  <si>
    <t>Date of Birth:</t>
  </si>
  <si>
    <t xml:space="preserve">Date of Redundancy:   </t>
  </si>
  <si>
    <t xml:space="preserve">Age at redundancy:      </t>
  </si>
  <si>
    <t xml:space="preserve">Years      </t>
  </si>
  <si>
    <t>Months</t>
  </si>
  <si>
    <t xml:space="preserve">Years leaving before NPA:      </t>
  </si>
  <si>
    <t xml:space="preserve">Years    </t>
  </si>
  <si>
    <t>Month</t>
  </si>
  <si>
    <r>
      <t>(</t>
    </r>
    <r>
      <rPr>
        <sz val="9"/>
        <color theme="1"/>
        <rFont val="Arial"/>
        <family val="2"/>
      </rPr>
      <t>Period from retirement to NPA rounded up)</t>
    </r>
  </si>
  <si>
    <t>ERF1 Factor:-</t>
  </si>
  <si>
    <t>CER1 Factor:-</t>
  </si>
  <si>
    <t>ERF7 Factor:-</t>
  </si>
  <si>
    <t>CER3 Factor:-</t>
  </si>
  <si>
    <r>
      <t>ERF12</t>
    </r>
    <r>
      <rPr>
        <sz val="9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Factor:-</t>
    </r>
  </si>
  <si>
    <t>(Based on years and months leaving early)</t>
  </si>
  <si>
    <t>Unreduced Pension = £</t>
  </si>
  <si>
    <t>(A)  Reduced Pension = £</t>
  </si>
  <si>
    <t>(B)</t>
  </si>
  <si>
    <t>Unreduced Lump sum = £</t>
  </si>
  <si>
    <t>(C)  Reduced Lump Sum = £</t>
  </si>
  <si>
    <t>(D)</t>
  </si>
  <si>
    <t>Redundancy Payment = £</t>
  </si>
  <si>
    <t>(E)</t>
  </si>
  <si>
    <t>Part 1</t>
  </si>
  <si>
    <t>Employer Cost for Compulsory Early Retirement</t>
  </si>
  <si>
    <t>Cost of unreduced pension</t>
  </si>
  <si>
    <t>= (A)£</t>
  </si>
  <si>
    <t xml:space="preserve">   x ERF12 = (Z)£ </t>
  </si>
  <si>
    <t>(A)£                            - (Z)£                                                       x   CER1 = £</t>
  </si>
  <si>
    <t>Cost of Lump Sum</t>
  </si>
  <si>
    <t>= (C)£</t>
  </si>
  <si>
    <t xml:space="preserve">    x</t>
  </si>
  <si>
    <t>CER3</t>
  </si>
  <si>
    <r>
      <t>=£</t>
    </r>
    <r>
      <rPr>
        <u/>
        <sz val="11"/>
        <color theme="1"/>
        <rFont val="Arial"/>
        <family val="2"/>
      </rPr>
      <t xml:space="preserve">  </t>
    </r>
  </si>
  <si>
    <t xml:space="preserve">   Total =£</t>
  </si>
  <si>
    <t>If employer cost is greater than the redundancy payment the member is eligible for additional contribution option.</t>
  </si>
  <si>
    <t>Part 2</t>
  </si>
  <si>
    <t>Cost to Secure no reduction to benefits</t>
  </si>
  <si>
    <t>= £</t>
  </si>
  <si>
    <r>
      <t xml:space="preserve">         (F)</t>
    </r>
    <r>
      <rPr>
        <b/>
        <sz val="9"/>
        <color theme="1"/>
        <rFont val="Arial"/>
        <family val="2"/>
      </rPr>
      <t xml:space="preserve"> Rounded down to nearest (£10)</t>
    </r>
  </si>
  <si>
    <t>Top-up pension over normal early retirement pension</t>
  </si>
  <si>
    <t>Main Scheme Pension = (A)£</t>
  </si>
  <si>
    <t xml:space="preserve">     - (B)£</t>
  </si>
  <si>
    <t>=(G)£</t>
  </si>
  <si>
    <t>(G) x (E)£</t>
  </si>
  <si>
    <t>÷ (F)£</t>
  </si>
  <si>
    <t>= (H) £</t>
  </si>
  <si>
    <t>Top-up retirement lump sum</t>
  </si>
  <si>
    <t>Main Scheme Lump Sum = (C)£</t>
  </si>
  <si>
    <t>- (D)£</t>
  </si>
  <si>
    <t>= (I)£</t>
  </si>
  <si>
    <t>(I) x (E)£</t>
  </si>
  <si>
    <t>= (J) £</t>
  </si>
  <si>
    <t>Pension available to member</t>
  </si>
  <si>
    <t>(B)£</t>
  </si>
  <si>
    <t>+</t>
  </si>
  <si>
    <t>(H)£</t>
  </si>
  <si>
    <t>= (K)£</t>
  </si>
  <si>
    <t>Lump sum available to member</t>
  </si>
  <si>
    <t>(D)£</t>
  </si>
  <si>
    <t>(J)£</t>
  </si>
  <si>
    <t>= (L)£</t>
  </si>
  <si>
    <t>(A)</t>
  </si>
  <si>
    <t>Life Assurance Lump Sum</t>
  </si>
  <si>
    <t>Section:</t>
  </si>
  <si>
    <t>Unreduced Pension        =</t>
  </si>
  <si>
    <t>(C)</t>
  </si>
  <si>
    <t>Reduced Pension      =</t>
  </si>
  <si>
    <t>Years</t>
  </si>
  <si>
    <t>DOB / AGE</t>
  </si>
  <si>
    <t>NPA Date:</t>
  </si>
  <si>
    <t>Age: Complete Months</t>
  </si>
  <si>
    <t>Complete Years</t>
  </si>
  <si>
    <t>NHS Pension Scheme (E&amp;W): Acutarial Factors</t>
  </si>
  <si>
    <t>Cost for a Member leaving on Complusory Early Retirement
Factors Applicable to Main Pension Scheme</t>
  </si>
  <si>
    <t>Notes:</t>
  </si>
  <si>
    <t>1)</t>
  </si>
  <si>
    <t>See Guidance for application of factor</t>
  </si>
  <si>
    <t>Pension amounts should be mutilplied by factor above before any lump sum commutation option is exercised</t>
  </si>
  <si>
    <t>2)</t>
  </si>
  <si>
    <t>3)</t>
  </si>
  <si>
    <t>These factors should not be applied to any Additional Pension</t>
  </si>
  <si>
    <t>Cost for a Member leaving on Complusory Early Retirement
Costs for Early Payment of Lump Sum (Including MLS For Choice Optants)</t>
  </si>
  <si>
    <t>Table - CER 3</t>
  </si>
  <si>
    <t>Table - CER 1</t>
  </si>
  <si>
    <t>Period to NPA: Months</t>
  </si>
  <si>
    <t>Lump Sum Factors</t>
  </si>
  <si>
    <t>Pension Factors</t>
  </si>
  <si>
    <t>Period of Retirement should be rounded up to the higher month</t>
  </si>
  <si>
    <t>Where Members have any deffered PI at their date of redundancy, these factors should be applied to benefits excluding any deffered PI. A saving or cost should be then calculated using CER 4 or CER5. The overall cost to the Employer allowing for the adjustment of deffered PI should be greater than or equal to £0</t>
  </si>
  <si>
    <t>NHS Pension Scheme (E&amp;W): Early Retirement Factors</t>
  </si>
  <si>
    <t>Benefits Payable to the Member on ARER
1995 Scheme (NPA 60)</t>
  </si>
  <si>
    <t>Table - ERF 1</t>
  </si>
  <si>
    <t>Table - ERF 7</t>
  </si>
  <si>
    <t>Date of Birth</t>
  </si>
  <si>
    <t>Pension Age:</t>
  </si>
  <si>
    <t>Benefits Payable to the Member on ARER
2008 Scheme (NPA 65)</t>
  </si>
  <si>
    <t>Table - ERF 2</t>
  </si>
  <si>
    <t>2008 Compulsory Early Retirement Calculation</t>
  </si>
  <si>
    <t>Unreduced Net Pension</t>
  </si>
  <si>
    <t>Unreduced Net Lump Sum</t>
  </si>
  <si>
    <t>Net Survivor Pension</t>
  </si>
  <si>
    <t>(Period from DoR to SPA)</t>
  </si>
  <si>
    <t>2015 Compulsory Early Retirement Calculation</t>
  </si>
  <si>
    <t>Lump sum by Commutation</t>
  </si>
  <si>
    <t>Post Commutation Pension</t>
  </si>
  <si>
    <t>Lump Sum by Commutation</t>
  </si>
  <si>
    <t>Survivor's pension</t>
  </si>
  <si>
    <t>2008 OPTANT Compulsory Early Retirement Calculation</t>
  </si>
  <si>
    <t>2008 Optant</t>
  </si>
  <si>
    <t>TABLE ERF11</t>
  </si>
  <si>
    <t>NHS PENSION SCHEME (E&amp;W): ACTUARIAL FACTORS</t>
  </si>
  <si>
    <t>BENEFITS PAYABLE TO THE MEMBER ON VOLUNTARY EARLY RETIREMENT (WITH ACTUARIAL REDUCTION)</t>
  </si>
  <si>
    <t>MEMBERS OF 2008 SECTION WITH A MANDATORY LUMP SUM (RELATIVE TO PENSION AGE OF 65)</t>
  </si>
  <si>
    <t>ADJUSTMENT FACTORS</t>
  </si>
  <si>
    <t>Age: complete  years \ months:</t>
  </si>
  <si>
    <t xml:space="preserve">(1) these factors should be used to calculate members reduced early retirement pension before commutation for mandatory (and any further optional) lump sum </t>
  </si>
  <si>
    <t>(2) the relevant factor in table ERF11 should be multiplied by the member’s mandatory lump sum which has already been reduced for early payment using factors in ERF7</t>
  </si>
  <si>
    <t>(3) the relevant early retirement factor from table ERF2 should be multiplied by the member’s accrued pension (before commutation for mandatory (and any further optional) lump sum)</t>
  </si>
  <si>
    <t>(4) reduced pension is obtained by adding the amounts calculated in note 2 and note 3 together</t>
  </si>
  <si>
    <t>ERF1 Factor:</t>
  </si>
  <si>
    <t>ERF7 Factor:</t>
  </si>
  <si>
    <t>Unreduced Pension:</t>
  </si>
  <si>
    <t>Unreduced Lump Sum:</t>
  </si>
  <si>
    <t>Addnl Lump Sum:</t>
  </si>
  <si>
    <t>Total Lump Sum:</t>
  </si>
  <si>
    <t>Addnl Reduced Pension:</t>
  </si>
  <si>
    <t>Survivors Pension:</t>
  </si>
  <si>
    <t>Reduced Pension:</t>
  </si>
  <si>
    <t>Reduced Lump Sum:</t>
  </si>
  <si>
    <t>Surviviors Pension:</t>
  </si>
  <si>
    <t>ERF2 Factor:</t>
  </si>
  <si>
    <t>Lump sum by Commutation:</t>
  </si>
  <si>
    <t>Post Commutation Pension:</t>
  </si>
  <si>
    <t>Survivor's Pension:</t>
  </si>
  <si>
    <t>Lump Sum by Commutation:</t>
  </si>
  <si>
    <t>ERF11 Factor:</t>
  </si>
  <si>
    <t>Mandatory Lump Sum:</t>
  </si>
  <si>
    <t xml:space="preserve">TABLE ERF1 </t>
  </si>
  <si>
    <t>NHS PENSION SCHEME 2015 (E&amp;W): ACTUARIAL FACTORS</t>
  </si>
  <si>
    <t>FACTORS APPLICABLE TO MAIN SCHEME PENSION AND ADDITIONAL PENSION</t>
  </si>
  <si>
    <t>Time to NPA: Months</t>
  </si>
  <si>
    <t>PENSION FACTORS</t>
  </si>
  <si>
    <t xml:space="preserve">  Notes: </t>
  </si>
  <si>
    <t>(1) NPA should be substituted for RRA where appropriate</t>
  </si>
  <si>
    <t xml:space="preserve">             </t>
  </si>
  <si>
    <t>(2) AP should be pro-rated to take account of unpaid contributions at date of retirement. Any paid up AP entitlement should include PI to DOR</t>
  </si>
  <si>
    <t xml:space="preserve">(3) The appropriate factor is based on the period between DOR and NPA (or RRA) in years and months, rounded up to the next higher month.  </t>
  </si>
  <si>
    <t>Current date</t>
  </si>
  <si>
    <t>Days</t>
  </si>
  <si>
    <t>Table AB2</t>
  </si>
  <si>
    <t>NHS Pension Scheme (E&amp;W): Actuarial Factors</t>
  </si>
  <si>
    <t>Factors for use in abatement cases Members of 2008 Section (relative to pension age of 65)</t>
  </si>
  <si>
    <t>These factors are to be used to determine theearned portion of a pension foe abatement puposes.</t>
  </si>
  <si>
    <t>Factors should be applied to unreduced pension as the member's retirement date before any allowance for commutation (unless due to allocation)</t>
  </si>
  <si>
    <t>Applicable for 2008 section Main Schem Pension, 1995 Section NPA 65 Added Years' pension and 1995 and 2008 section NPA65 Additional Pension ( contracts exercised from 1 April 2011 onwards)</t>
  </si>
  <si>
    <t>Retirement from active or presered status in ill health (immediate pension increases)</t>
  </si>
  <si>
    <t>..729</t>
  </si>
  <si>
    <t>AB2 Factor</t>
  </si>
  <si>
    <t>AB6 Factor</t>
  </si>
  <si>
    <t>Unearned Pension</t>
  </si>
  <si>
    <t>Table AB6</t>
  </si>
  <si>
    <t>Factors for use in abatement cases Members of 2008 Section with Mandatory Lump Sum (relative to pension age of 65)</t>
  </si>
  <si>
    <t>1) These factors are to be used to determine the earned portion for abatement purposes</t>
  </si>
  <si>
    <t>2) The relevant mandatory lump sum adjustment factor should be multiplied by the member’s mandatory lump sum</t>
  </si>
  <si>
    <t>3) The relevant early retirement factor should be multiplied by the member’s accrued pension</t>
  </si>
  <si>
    <t>4) Reduced pension is obtained by subtracting the amount calculated in (2) from (3) (see formulae)</t>
  </si>
  <si>
    <t>5) Reduced pension to be calculated before commutation for mandatory (and any further optional) lump sum</t>
  </si>
  <si>
    <t>6) Applicable for 2008 section choice optants</t>
  </si>
  <si>
    <t>Table AB1</t>
  </si>
  <si>
    <t>NHSPS 2015 (E&amp;W): ACTUARIAL FACTORS</t>
  </si>
  <si>
    <t>FACTORS FOR USE IN ABATEMENT CASES</t>
  </si>
  <si>
    <t>Please note this table is the same as ERF1 currently</t>
  </si>
  <si>
    <t>Unearned pension</t>
  </si>
  <si>
    <t>(A) - (B)</t>
  </si>
  <si>
    <t>Unearned Pension:</t>
  </si>
  <si>
    <t>Total Reck Service</t>
  </si>
  <si>
    <t>Total Calendar Service</t>
  </si>
  <si>
    <t>Retirement Date (Payable Date)</t>
  </si>
  <si>
    <t xml:space="preserve">Payment date:   </t>
  </si>
  <si>
    <t>Calendar Service TRS Date to Payment Date</t>
  </si>
  <si>
    <t>TRS Date:</t>
  </si>
  <si>
    <t>Accrued Pension TRS Date to Payment Date</t>
  </si>
  <si>
    <t>Accrued Lump Sum TRS Date to Payment Date</t>
  </si>
  <si>
    <t>Acc'd Survivor Pen TRS Date to Payment Date</t>
  </si>
  <si>
    <t>Pro Rata Reck Serv TRS Date to Payment Date</t>
  </si>
  <si>
    <t>1995 Section - Early Retirement Calculation</t>
  </si>
  <si>
    <t>Payment date:</t>
  </si>
  <si>
    <t>Payment Date:</t>
  </si>
  <si>
    <t>Early Retirement Calculation</t>
  </si>
  <si>
    <t>Payment Date</t>
  </si>
  <si>
    <t>Retirement Pension</t>
  </si>
  <si>
    <t>Optional Lump Sum by Commutation</t>
  </si>
  <si>
    <t>Survivor's Pension</t>
  </si>
  <si>
    <t>Reduced Pension after Commutation for Optional Lump Sum</t>
  </si>
  <si>
    <t>Yes</t>
  </si>
  <si>
    <t>No</t>
  </si>
  <si>
    <t xml:space="preserve">Age at Payment Date:      </t>
  </si>
  <si>
    <t>Date for 1995 Optional</t>
  </si>
  <si>
    <t>Are you an Active Member</t>
  </si>
  <si>
    <t xml:space="preserve">Input On All Orange Fields </t>
  </si>
  <si>
    <t>TRS/ABS Date</t>
  </si>
  <si>
    <t xml:space="preserve">Total Membership at TRS/ABS Date (Reckonable Service) </t>
  </si>
  <si>
    <t>Calendar Service at TRS/ABS Date</t>
  </si>
  <si>
    <t>TRS/ABS Pension</t>
  </si>
  <si>
    <t>TRS/ABS Survivor Pension</t>
  </si>
  <si>
    <t>Section/Scheme</t>
  </si>
</sst>
</file>

<file path=xl/styles.xml><?xml version="1.0" encoding="utf-8"?>
<styleSheet xmlns="http://schemas.openxmlformats.org/spreadsheetml/2006/main">
  <numFmts count="5"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0.000"/>
    <numFmt numFmtId="166" formatCode="#,##0_ ;\-#,##0\ "/>
    <numFmt numFmtId="167" formatCode="0.00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1"/>
      <color theme="0"/>
      <name val="Calibri"/>
      <family val="2"/>
      <scheme val="minor"/>
    </font>
    <font>
      <sz val="8"/>
      <name val="Tahoma"/>
      <family val="2"/>
    </font>
    <font>
      <b/>
      <u/>
      <sz val="16"/>
      <color theme="1"/>
      <name val="Arial"/>
      <family val="2"/>
    </font>
    <font>
      <b/>
      <i/>
      <sz val="11"/>
      <color theme="1"/>
      <name val="Arial"/>
      <family val="2"/>
    </font>
    <font>
      <u/>
      <sz val="11"/>
      <color theme="10"/>
      <name val="Calibri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Arial"/>
      <family val="2"/>
    </font>
    <font>
      <sz val="24"/>
      <name val="Arial"/>
      <family val="2"/>
    </font>
    <font>
      <b/>
      <i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6">
    <xf numFmtId="0" fontId="0" fillId="0" borderId="0"/>
    <xf numFmtId="44" fontId="9" fillId="0" borderId="0" applyFont="0" applyFill="0" applyBorder="0" applyAlignment="0" applyProtection="0"/>
    <xf numFmtId="0" fontId="12" fillId="0" borderId="0"/>
    <xf numFmtId="0" fontId="17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221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 wrapText="1"/>
    </xf>
    <xf numFmtId="0" fontId="0" fillId="0" borderId="0" xfId="0" applyBorder="1"/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/>
    <xf numFmtId="1" fontId="0" fillId="0" borderId="1" xfId="0" applyNumberFormat="1" applyBorder="1"/>
    <xf numFmtId="0" fontId="10" fillId="0" borderId="0" xfId="0" applyFont="1" applyAlignment="1">
      <alignment horizontal="left" vertical="center"/>
    </xf>
    <xf numFmtId="0" fontId="3" fillId="0" borderId="0" xfId="0" applyFont="1" applyBorder="1"/>
    <xf numFmtId="0" fontId="1" fillId="0" borderId="1" xfId="0" applyFont="1" applyBorder="1"/>
    <xf numFmtId="165" fontId="0" fillId="0" borderId="1" xfId="0" applyNumberFormat="1" applyBorder="1"/>
    <xf numFmtId="0" fontId="0" fillId="2" borderId="0" xfId="0" applyFill="1" applyAlignment="1"/>
    <xf numFmtId="0" fontId="0" fillId="2" borderId="8" xfId="0" applyFill="1" applyBorder="1" applyAlignment="1"/>
    <xf numFmtId="0" fontId="0" fillId="2" borderId="7" xfId="0" applyFill="1" applyBorder="1" applyAlignment="1"/>
    <xf numFmtId="0" fontId="0" fillId="2" borderId="9" xfId="0" applyFill="1" applyBorder="1" applyAlignment="1"/>
    <xf numFmtId="0" fontId="1" fillId="0" borderId="2" xfId="0" applyFont="1" applyBorder="1"/>
    <xf numFmtId="0" fontId="0" fillId="0" borderId="4" xfId="0" applyBorder="1"/>
    <xf numFmtId="0" fontId="0" fillId="0" borderId="0" xfId="0" applyAlignment="1">
      <alignment vertical="center"/>
    </xf>
    <xf numFmtId="165" fontId="0" fillId="0" borderId="12" xfId="0" applyNumberFormat="1" applyFill="1" applyBorder="1"/>
    <xf numFmtId="0" fontId="3" fillId="0" borderId="0" xfId="0" applyFont="1" applyAlignment="1">
      <alignment horizontal="center" vertical="center"/>
    </xf>
    <xf numFmtId="2" fontId="0" fillId="0" borderId="0" xfId="0" applyNumberFormat="1"/>
    <xf numFmtId="1" fontId="0" fillId="0" borderId="1" xfId="0" applyNumberFormat="1" applyFill="1" applyBorder="1"/>
    <xf numFmtId="164" fontId="0" fillId="0" borderId="1" xfId="0" applyNumberFormat="1" applyBorder="1"/>
    <xf numFmtId="164" fontId="0" fillId="3" borderId="0" xfId="0" applyNumberFormat="1" applyFill="1" applyBorder="1" applyAlignment="1">
      <alignment horizont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164" fontId="0" fillId="0" borderId="0" xfId="0" applyNumberFormat="1" applyFont="1" applyBorder="1" applyAlignment="1">
      <alignment vertical="center"/>
    </xf>
    <xf numFmtId="44" fontId="0" fillId="0" borderId="0" xfId="1" applyFont="1" applyBorder="1"/>
    <xf numFmtId="164" fontId="0" fillId="0" borderId="0" xfId="0" applyNumberFormat="1" applyBorder="1"/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3" fillId="0" borderId="0" xfId="2" applyFont="1" applyProtection="1"/>
    <xf numFmtId="0" fontId="14" fillId="0" borderId="0" xfId="2" applyFont="1" applyProtection="1"/>
    <xf numFmtId="0" fontId="13" fillId="0" borderId="0" xfId="2" applyFont="1" applyAlignment="1" applyProtection="1">
      <alignment horizontal="left"/>
    </xf>
    <xf numFmtId="165" fontId="15" fillId="0" borderId="17" xfId="2" applyNumberFormat="1" applyFont="1" applyBorder="1" applyAlignment="1" applyProtection="1">
      <alignment horizontal="right"/>
    </xf>
    <xf numFmtId="1" fontId="14" fillId="0" borderId="16" xfId="2" applyNumberFormat="1" applyFont="1" applyBorder="1" applyAlignment="1" applyProtection="1">
      <alignment horizontal="right"/>
    </xf>
    <xf numFmtId="1" fontId="14" fillId="0" borderId="18" xfId="2" applyNumberFormat="1" applyFont="1" applyBorder="1" applyAlignment="1" applyProtection="1">
      <alignment horizontal="right"/>
    </xf>
    <xf numFmtId="165" fontId="14" fillId="0" borderId="19" xfId="2" applyNumberFormat="1" applyFont="1" applyBorder="1" applyAlignment="1" applyProtection="1">
      <alignment horizontal="right"/>
    </xf>
    <xf numFmtId="1" fontId="14" fillId="0" borderId="20" xfId="2" applyNumberFormat="1" applyFont="1" applyFill="1" applyBorder="1" applyAlignment="1" applyProtection="1">
      <alignment horizontal="right"/>
    </xf>
    <xf numFmtId="165" fontId="14" fillId="0" borderId="21" xfId="2" applyNumberFormat="1" applyFont="1" applyFill="1" applyBorder="1" applyAlignment="1" applyProtection="1">
      <alignment horizontal="right"/>
    </xf>
    <xf numFmtId="0" fontId="8" fillId="0" borderId="0" xfId="0" applyFont="1" applyAlignment="1">
      <alignment vertical="center"/>
    </xf>
    <xf numFmtId="0" fontId="0" fillId="0" borderId="0" xfId="0"/>
    <xf numFmtId="0" fontId="0" fillId="3" borderId="0" xfId="0" applyFill="1" applyProtection="1"/>
    <xf numFmtId="0" fontId="18" fillId="3" borderId="0" xfId="0" applyFont="1" applyFill="1" applyAlignment="1" applyProtection="1">
      <alignment horizontal="center"/>
    </xf>
    <xf numFmtId="0" fontId="0" fillId="0" borderId="0" xfId="0" applyFill="1" applyProtection="1"/>
    <xf numFmtId="0" fontId="0" fillId="5" borderId="0" xfId="0" applyFill="1" applyProtection="1"/>
    <xf numFmtId="0" fontId="16" fillId="3" borderId="0" xfId="0" applyFont="1" applyFill="1" applyAlignment="1" applyProtection="1">
      <alignment horizontal="right"/>
    </xf>
    <xf numFmtId="44" fontId="0" fillId="0" borderId="0" xfId="1" applyFont="1" applyFill="1" applyBorder="1" applyAlignment="1" applyProtection="1">
      <alignment horizontal="left"/>
    </xf>
    <xf numFmtId="44" fontId="0" fillId="5" borderId="0" xfId="1" applyFont="1" applyFill="1" applyBorder="1" applyProtection="1"/>
    <xf numFmtId="44" fontId="0" fillId="3" borderId="0" xfId="1" applyFont="1" applyFill="1" applyBorder="1" applyProtection="1"/>
    <xf numFmtId="44" fontId="0" fillId="3" borderId="1" xfId="1" applyFont="1" applyFill="1" applyBorder="1" applyProtection="1"/>
    <xf numFmtId="0" fontId="0" fillId="4" borderId="0" xfId="0" applyFill="1" applyBorder="1" applyAlignment="1" applyProtection="1">
      <alignment horizontal="left"/>
      <protection locked="0"/>
    </xf>
    <xf numFmtId="14" fontId="0" fillId="4" borderId="0" xfId="0" applyNumberFormat="1" applyFill="1" applyBorder="1" applyAlignment="1" applyProtection="1">
      <alignment horizontal="left" vertical="center"/>
      <protection locked="0"/>
    </xf>
    <xf numFmtId="14" fontId="0" fillId="4" borderId="0" xfId="0" applyNumberFormat="1" applyFill="1" applyBorder="1" applyAlignment="1" applyProtection="1">
      <alignment horizontal="left"/>
      <protection locked="0"/>
    </xf>
    <xf numFmtId="44" fontId="0" fillId="4" borderId="0" xfId="1" applyFont="1" applyFill="1" applyBorder="1" applyAlignment="1" applyProtection="1">
      <alignment horizontal="left"/>
      <protection locked="0"/>
    </xf>
    <xf numFmtId="1" fontId="0" fillId="0" borderId="1" xfId="0" applyNumberFormat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3" fillId="0" borderId="0" xfId="0" applyFont="1" applyBorder="1" applyAlignment="1">
      <alignment vertical="center"/>
    </xf>
    <xf numFmtId="0" fontId="16" fillId="3" borderId="0" xfId="0" applyFont="1" applyFill="1" applyProtection="1"/>
    <xf numFmtId="0" fontId="7" fillId="0" borderId="17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vertical="center"/>
    </xf>
    <xf numFmtId="0" fontId="8" fillId="0" borderId="18" xfId="0" applyFont="1" applyBorder="1" applyAlignment="1">
      <alignment horizontal="center" vertical="center"/>
    </xf>
    <xf numFmtId="165" fontId="8" fillId="0" borderId="19" xfId="0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 indent="5"/>
    </xf>
    <xf numFmtId="0" fontId="8" fillId="0" borderId="0" xfId="0" applyFont="1" applyAlignment="1"/>
    <xf numFmtId="0" fontId="0" fillId="3" borderId="0" xfId="0" applyFill="1" applyBorder="1" applyProtection="1"/>
    <xf numFmtId="0" fontId="0" fillId="3" borderId="0" xfId="0" applyFill="1" applyProtection="1"/>
    <xf numFmtId="0" fontId="0" fillId="0" borderId="0" xfId="0" applyFill="1" applyProtection="1"/>
    <xf numFmtId="0" fontId="0" fillId="5" borderId="0" xfId="0" applyFill="1" applyProtection="1"/>
    <xf numFmtId="0" fontId="0" fillId="4" borderId="0" xfId="0" applyFill="1" applyBorder="1" applyAlignment="1" applyProtection="1">
      <alignment horizontal="left"/>
      <protection locked="0"/>
    </xf>
    <xf numFmtId="44" fontId="0" fillId="4" borderId="0" xfId="1" applyFont="1" applyFill="1" applyBorder="1" applyAlignment="1" applyProtection="1">
      <alignment horizontal="left"/>
      <protection locked="0"/>
    </xf>
    <xf numFmtId="166" fontId="0" fillId="4" borderId="0" xfId="1" applyNumberFormat="1" applyFont="1" applyFill="1" applyBorder="1" applyAlignment="1" applyProtection="1">
      <alignment horizontal="left"/>
      <protection locked="0"/>
    </xf>
    <xf numFmtId="0" fontId="22" fillId="3" borderId="0" xfId="0" applyFont="1" applyFill="1" applyProtection="1"/>
    <xf numFmtId="166" fontId="22" fillId="3" borderId="0" xfId="1" applyNumberFormat="1" applyFont="1" applyFill="1" applyBorder="1" applyAlignment="1" applyProtection="1">
      <alignment horizontal="left"/>
    </xf>
    <xf numFmtId="0" fontId="0" fillId="0" borderId="0" xfId="0" applyFill="1" applyBorder="1"/>
    <xf numFmtId="165" fontId="12" fillId="0" borderId="19" xfId="2" applyNumberFormat="1" applyFont="1" applyBorder="1" applyAlignment="1" applyProtection="1">
      <alignment horizontal="right"/>
    </xf>
    <xf numFmtId="1" fontId="13" fillId="0" borderId="18" xfId="2" applyNumberFormat="1" applyFont="1" applyBorder="1" applyAlignment="1" applyProtection="1">
      <alignment horizontal="right"/>
    </xf>
    <xf numFmtId="1" fontId="13" fillId="0" borderId="16" xfId="2" applyNumberFormat="1" applyFont="1" applyBorder="1" applyAlignment="1" applyProtection="1">
      <alignment horizontal="right"/>
    </xf>
    <xf numFmtId="0" fontId="3" fillId="0" borderId="0" xfId="0" applyFont="1" applyFill="1" applyBorder="1" applyAlignment="1">
      <alignment horizontal="left" vertical="center"/>
    </xf>
    <xf numFmtId="165" fontId="0" fillId="0" borderId="0" xfId="0" applyNumberFormat="1" applyBorder="1" applyAlignment="1">
      <alignment horizontal="center"/>
    </xf>
    <xf numFmtId="167" fontId="14" fillId="0" borderId="19" xfId="2" applyNumberFormat="1" applyFont="1" applyBorder="1" applyAlignment="1" applyProtection="1">
      <alignment horizontal="right"/>
    </xf>
    <xf numFmtId="167" fontId="12" fillId="0" borderId="21" xfId="2" applyNumberFormat="1" applyFont="1" applyFill="1" applyBorder="1" applyAlignment="1" applyProtection="1">
      <alignment horizontal="right"/>
    </xf>
    <xf numFmtId="1" fontId="13" fillId="0" borderId="0" xfId="2" applyNumberFormat="1" applyFont="1" applyFill="1" applyBorder="1" applyAlignment="1" applyProtection="1">
      <alignment horizontal="right"/>
    </xf>
    <xf numFmtId="0" fontId="22" fillId="0" borderId="0" xfId="0" applyFont="1"/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16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3" fillId="0" borderId="0" xfId="0" quotePrefix="1" applyFont="1" applyBorder="1" applyAlignment="1">
      <alignment vertical="center"/>
    </xf>
    <xf numFmtId="0" fontId="0" fillId="0" borderId="0" xfId="0" applyBorder="1"/>
    <xf numFmtId="164" fontId="0" fillId="0" borderId="0" xfId="0" applyNumberFormat="1" applyBorder="1" applyAlignment="1"/>
    <xf numFmtId="44" fontId="0" fillId="0" borderId="0" xfId="1" applyFont="1" applyFill="1" applyBorder="1"/>
    <xf numFmtId="0" fontId="6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3" fillId="0" borderId="0" xfId="0" quotePrefix="1" applyFont="1" applyBorder="1"/>
    <xf numFmtId="0" fontId="0" fillId="0" borderId="0" xfId="0" quotePrefix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44" fontId="0" fillId="0" borderId="0" xfId="1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right"/>
    </xf>
    <xf numFmtId="164" fontId="1" fillId="0" borderId="0" xfId="0" applyNumberFormat="1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164" fontId="0" fillId="0" borderId="2" xfId="0" applyNumberFormat="1" applyFont="1" applyBorder="1" applyAlignment="1">
      <alignment vertical="center"/>
    </xf>
    <xf numFmtId="164" fontId="0" fillId="0" borderId="2" xfId="0" applyNumberFormat="1" applyBorder="1"/>
    <xf numFmtId="164" fontId="6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horizontal="right" vertical="center"/>
    </xf>
    <xf numFmtId="165" fontId="0" fillId="0" borderId="0" xfId="0" applyNumberFormat="1" applyBorder="1" applyAlignment="1">
      <alignment horizontal="center"/>
    </xf>
    <xf numFmtId="0" fontId="4" fillId="0" borderId="0" xfId="0" applyFont="1" applyBorder="1" applyAlignment="1">
      <alignment vertical="center"/>
    </xf>
    <xf numFmtId="0" fontId="23" fillId="3" borderId="0" xfId="0" applyFont="1" applyFill="1" applyProtection="1"/>
    <xf numFmtId="44" fontId="23" fillId="3" borderId="0" xfId="1" applyNumberFormat="1" applyFont="1" applyFill="1" applyBorder="1" applyAlignment="1" applyProtection="1">
      <alignment horizontal="left"/>
    </xf>
    <xf numFmtId="14" fontId="0" fillId="3" borderId="0" xfId="0" applyNumberFormat="1" applyFill="1" applyBorder="1" applyAlignment="1" applyProtection="1">
      <alignment horizontal="right"/>
      <protection locked="0"/>
    </xf>
    <xf numFmtId="0" fontId="0" fillId="4" borderId="0" xfId="0" applyFill="1" applyBorder="1" applyAlignment="1" applyProtection="1">
      <alignment horizontal="right"/>
      <protection locked="0"/>
    </xf>
    <xf numFmtId="44" fontId="0" fillId="3" borderId="0" xfId="1" applyFont="1" applyFill="1" applyBorder="1" applyAlignment="1" applyProtection="1">
      <alignment horizontal="left"/>
    </xf>
    <xf numFmtId="1" fontId="16" fillId="3" borderId="0" xfId="0" applyNumberFormat="1" applyFont="1" applyFill="1" applyProtection="1"/>
    <xf numFmtId="0" fontId="23" fillId="3" borderId="0" xfId="0" applyFont="1" applyFill="1" applyBorder="1" applyProtection="1"/>
    <xf numFmtId="166" fontId="23" fillId="4" borderId="0" xfId="1" applyNumberFormat="1" applyFont="1" applyFill="1" applyBorder="1" applyAlignment="1" applyProtection="1">
      <alignment horizontal="left"/>
      <protection locked="0"/>
    </xf>
    <xf numFmtId="0" fontId="19" fillId="3" borderId="0" xfId="0" applyFont="1" applyFill="1" applyAlignment="1" applyProtection="1"/>
    <xf numFmtId="0" fontId="26" fillId="3" borderId="0" xfId="0" applyFont="1" applyFill="1" applyAlignment="1" applyProtection="1"/>
    <xf numFmtId="0" fontId="23" fillId="3" borderId="0" xfId="0" applyFont="1" applyFill="1" applyBorder="1" applyAlignment="1" applyProtection="1">
      <alignment vertical="top"/>
    </xf>
    <xf numFmtId="0" fontId="0" fillId="3" borderId="0" xfId="0" applyFill="1" applyBorder="1" applyAlignment="1" applyProtection="1">
      <alignment vertical="top"/>
    </xf>
    <xf numFmtId="0" fontId="0" fillId="3" borderId="0" xfId="0" applyFill="1" applyAlignment="1" applyProtection="1">
      <alignment horizontal="center" vertical="top"/>
    </xf>
    <xf numFmtId="0" fontId="24" fillId="3" borderId="0" xfId="0" applyFont="1" applyFill="1" applyAlignment="1" applyProtection="1">
      <alignment horizontal="left"/>
    </xf>
    <xf numFmtId="0" fontId="3" fillId="0" borderId="0" xfId="0" applyFont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44" fontId="0" fillId="0" borderId="1" xfId="0" applyNumberForma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164" fontId="0" fillId="3" borderId="2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right"/>
    </xf>
    <xf numFmtId="164" fontId="1" fillId="0" borderId="0" xfId="0" applyNumberFormat="1" applyFont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0" fontId="0" fillId="0" borderId="0" xfId="0" applyBorder="1"/>
    <xf numFmtId="0" fontId="3" fillId="0" borderId="0" xfId="0" applyFont="1" applyBorder="1" applyAlignment="1">
      <alignment horizontal="center" vertical="center"/>
    </xf>
    <xf numFmtId="164" fontId="0" fillId="0" borderId="0" xfId="0" applyNumberFormat="1" applyFont="1" applyBorder="1" applyAlignment="1">
      <alignment horizontal="center" vertical="center"/>
    </xf>
    <xf numFmtId="44" fontId="0" fillId="0" borderId="0" xfId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0" fillId="3" borderId="2" xfId="0" applyNumberFormat="1" applyFill="1" applyBorder="1" applyAlignment="1">
      <alignment horizontal="center"/>
    </xf>
    <xf numFmtId="14" fontId="0" fillId="3" borderId="4" xfId="0" applyNumberFormat="1" applyFill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164" fontId="0" fillId="3" borderId="0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6" fillId="0" borderId="0" xfId="0" applyFont="1" applyBorder="1" applyAlignment="1">
      <alignment horizontal="right" vertical="center"/>
    </xf>
    <xf numFmtId="164" fontId="1" fillId="0" borderId="0" xfId="0" applyNumberFormat="1" applyFont="1" applyBorder="1" applyAlignment="1">
      <alignment horizontal="center"/>
    </xf>
    <xf numFmtId="0" fontId="0" fillId="0" borderId="4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21" fillId="0" borderId="14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14" fillId="0" borderId="0" xfId="2" applyFont="1" applyAlignment="1" applyProtection="1">
      <alignment horizontal="left" wrapText="1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13" fillId="0" borderId="14" xfId="2" applyFont="1" applyBorder="1" applyAlignment="1" applyProtection="1">
      <alignment horizontal="center"/>
    </xf>
    <xf numFmtId="0" fontId="13" fillId="0" borderId="15" xfId="2" applyFont="1" applyBorder="1" applyAlignment="1" applyProtection="1">
      <alignment horizontal="center"/>
    </xf>
    <xf numFmtId="0" fontId="13" fillId="0" borderId="16" xfId="2" applyFont="1" applyBorder="1" applyAlignment="1" applyProtection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1" fillId="2" borderId="10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textRotation="90"/>
    </xf>
    <xf numFmtId="0" fontId="1" fillId="0" borderId="11" xfId="0" applyFont="1" applyBorder="1" applyAlignment="1">
      <alignment horizontal="center" vertical="center" textRotation="90"/>
    </xf>
    <xf numFmtId="0" fontId="1" fillId="0" borderId="12" xfId="0" applyFont="1" applyBorder="1" applyAlignment="1">
      <alignment horizontal="center" vertical="center" textRotation="90"/>
    </xf>
    <xf numFmtId="0" fontId="1" fillId="0" borderId="13" xfId="0" applyFont="1" applyBorder="1" applyAlignment="1">
      <alignment horizontal="center" vertical="center" textRotation="90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right"/>
    </xf>
    <xf numFmtId="164" fontId="6" fillId="0" borderId="0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4" fontId="0" fillId="0" borderId="0" xfId="0" applyNumberFormat="1" applyBorder="1" applyAlignment="1">
      <alignment horizontal="center"/>
    </xf>
  </cellXfs>
  <cellStyles count="6">
    <cellStyle name="Currency" xfId="1" builtinId="4"/>
    <cellStyle name="Hyperlink 2" xfId="4"/>
    <cellStyle name="Normal" xfId="0" builtinId="0"/>
    <cellStyle name="Normal 2" xfId="2"/>
    <cellStyle name="Normal 2 2" xfId="3"/>
    <cellStyle name="Normal 6" xfId="5"/>
  </cellStyles>
  <dxfs count="12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33CC33"/>
      <color rgb="FFFFFFAB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1809750</xdr:colOff>
      <xdr:row>19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6096000" y="3939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0"/>
    <pageSetUpPr fitToPage="1"/>
  </sheetPr>
  <dimension ref="A1:S101"/>
  <sheetViews>
    <sheetView showGridLines="0" showRowColHeaders="0" tabSelected="1" zoomScale="80" zoomScaleNormal="80" workbookViewId="0">
      <selection activeCell="D7" sqref="D7"/>
    </sheetView>
  </sheetViews>
  <sheetFormatPr defaultRowHeight="15"/>
  <cols>
    <col min="1" max="1" width="5" style="57" customWidth="1"/>
    <col min="2" max="2" width="2" style="57" customWidth="1"/>
    <col min="3" max="3" width="68.7109375" style="57" customWidth="1"/>
    <col min="4" max="4" width="29.42578125" style="57" bestFit="1" customWidth="1"/>
    <col min="5" max="5" width="19.28515625" style="57" bestFit="1" customWidth="1"/>
    <col min="6" max="6" width="17.7109375" style="57" customWidth="1"/>
    <col min="7" max="7" width="9.140625" style="57"/>
    <col min="8" max="8" width="5.42578125" style="57" customWidth="1"/>
    <col min="9" max="16384" width="9.140625" style="57"/>
  </cols>
  <sheetData>
    <row r="1" spans="1:13" ht="21.75" customHeight="1">
      <c r="A1" s="58"/>
      <c r="B1" s="58"/>
      <c r="C1" s="58"/>
      <c r="D1" s="58"/>
      <c r="E1" s="58"/>
      <c r="F1" s="58"/>
      <c r="G1" s="58"/>
      <c r="H1" s="58"/>
      <c r="I1" s="71"/>
      <c r="J1" s="55"/>
      <c r="K1" s="55"/>
      <c r="L1" s="55"/>
      <c r="M1" s="55"/>
    </row>
    <row r="2" spans="1:13">
      <c r="A2" s="58"/>
      <c r="B2" s="55"/>
      <c r="C2" s="55"/>
      <c r="D2" s="55"/>
      <c r="E2" s="87"/>
      <c r="F2" s="87"/>
      <c r="G2" s="81"/>
      <c r="H2" s="58"/>
      <c r="I2" s="71">
        <v>0</v>
      </c>
      <c r="J2" s="55"/>
      <c r="K2" s="55"/>
      <c r="L2" s="55"/>
      <c r="M2" s="55"/>
    </row>
    <row r="3" spans="1:13">
      <c r="A3" s="58"/>
      <c r="B3" s="55"/>
      <c r="C3" s="55"/>
      <c r="D3" s="55"/>
      <c r="E3" s="87"/>
      <c r="F3" s="87"/>
      <c r="G3" s="81"/>
      <c r="H3" s="58"/>
      <c r="I3" s="71">
        <v>1</v>
      </c>
      <c r="J3" s="55"/>
      <c r="K3" s="55"/>
      <c r="L3" s="55"/>
      <c r="M3" s="55"/>
    </row>
    <row r="4" spans="1:13" ht="19.5" customHeight="1">
      <c r="A4" s="58"/>
      <c r="B4" s="55"/>
      <c r="C4" s="56" t="s">
        <v>194</v>
      </c>
      <c r="D4" s="141" t="s">
        <v>205</v>
      </c>
      <c r="E4" s="142">
        <v>1995</v>
      </c>
      <c r="F4" s="71"/>
      <c r="G4" s="81"/>
      <c r="H4" s="58"/>
      <c r="I4" s="71">
        <v>2</v>
      </c>
      <c r="J4" s="55"/>
      <c r="K4" s="55"/>
      <c r="L4" s="55"/>
      <c r="M4" s="55"/>
    </row>
    <row r="5" spans="1:13">
      <c r="A5" s="58"/>
      <c r="B5" s="55"/>
      <c r="C5" s="55"/>
      <c r="D5" s="55"/>
      <c r="E5" s="59">
        <v>2008</v>
      </c>
      <c r="F5" s="71"/>
      <c r="G5" s="81"/>
      <c r="H5" s="58"/>
      <c r="I5" s="71">
        <v>3</v>
      </c>
      <c r="J5" s="55"/>
      <c r="K5" s="55"/>
      <c r="L5" s="55"/>
      <c r="M5" s="55"/>
    </row>
    <row r="6" spans="1:13">
      <c r="A6" s="58"/>
      <c r="B6" s="55"/>
      <c r="D6" s="81"/>
      <c r="E6" s="59" t="s">
        <v>114</v>
      </c>
      <c r="F6" s="71" t="s">
        <v>200</v>
      </c>
      <c r="G6" s="81"/>
      <c r="H6" s="58"/>
      <c r="I6" s="71">
        <v>4</v>
      </c>
      <c r="J6" s="55"/>
      <c r="K6" s="55"/>
      <c r="L6" s="55"/>
      <c r="M6" s="55"/>
    </row>
    <row r="7" spans="1:13">
      <c r="A7" s="58"/>
      <c r="B7" s="55"/>
      <c r="C7" s="81" t="s">
        <v>204</v>
      </c>
      <c r="D7" s="84"/>
      <c r="E7" s="59">
        <v>2015</v>
      </c>
      <c r="F7" s="71" t="s">
        <v>201</v>
      </c>
      <c r="G7" s="81"/>
      <c r="H7" s="58"/>
      <c r="I7" s="71">
        <v>5</v>
      </c>
      <c r="J7" s="55"/>
      <c r="K7" s="55"/>
      <c r="L7" s="55"/>
      <c r="M7" s="55"/>
    </row>
    <row r="8" spans="1:13">
      <c r="A8" s="58"/>
      <c r="B8" s="55"/>
      <c r="C8" s="81" t="s">
        <v>211</v>
      </c>
      <c r="D8" s="64"/>
      <c r="E8" s="71"/>
      <c r="F8" s="71">
        <v>65</v>
      </c>
      <c r="G8" s="81"/>
      <c r="H8" s="58"/>
      <c r="I8" s="71">
        <v>6</v>
      </c>
      <c r="J8" s="55"/>
      <c r="K8" s="55"/>
      <c r="L8" s="55"/>
      <c r="M8" s="55"/>
    </row>
    <row r="9" spans="1:13">
      <c r="A9" s="58"/>
      <c r="B9" s="55"/>
      <c r="C9" s="55" t="s">
        <v>99</v>
      </c>
      <c r="D9" s="65"/>
      <c r="E9" s="71"/>
      <c r="F9" s="71">
        <v>66</v>
      </c>
      <c r="G9" s="81"/>
      <c r="H9" s="58"/>
      <c r="I9" s="71">
        <v>7</v>
      </c>
      <c r="J9" s="55"/>
      <c r="K9" s="55"/>
      <c r="L9" s="55"/>
      <c r="M9" s="55"/>
    </row>
    <row r="10" spans="1:13">
      <c r="A10" s="58"/>
      <c r="B10" s="55"/>
      <c r="C10" s="81" t="s">
        <v>183</v>
      </c>
      <c r="D10" s="66"/>
      <c r="E10" s="71"/>
      <c r="F10" s="71">
        <v>67</v>
      </c>
      <c r="G10" s="81"/>
      <c r="H10" s="58"/>
      <c r="I10" s="71">
        <v>8</v>
      </c>
      <c r="J10" s="55"/>
      <c r="K10" s="55"/>
      <c r="L10" s="81"/>
      <c r="M10" s="55"/>
    </row>
    <row r="11" spans="1:13">
      <c r="A11" s="58"/>
      <c r="B11" s="55"/>
      <c r="C11" s="81" t="s">
        <v>206</v>
      </c>
      <c r="D11" s="66"/>
      <c r="E11" s="71"/>
      <c r="F11" s="71">
        <v>68</v>
      </c>
      <c r="G11" s="81"/>
      <c r="H11" s="58"/>
      <c r="I11" s="71">
        <v>9</v>
      </c>
      <c r="J11" s="55"/>
      <c r="K11" s="55"/>
      <c r="L11" s="81"/>
      <c r="M11" s="55"/>
    </row>
    <row r="12" spans="1:13">
      <c r="A12" s="58"/>
      <c r="B12" s="55"/>
      <c r="C12" s="81" t="s">
        <v>207</v>
      </c>
      <c r="D12" s="136"/>
      <c r="E12" s="139" t="s">
        <v>73</v>
      </c>
      <c r="F12" s="143">
        <f>(D12*365)+D13</f>
        <v>0</v>
      </c>
      <c r="G12" s="144" t="s">
        <v>154</v>
      </c>
      <c r="H12" s="58"/>
      <c r="I12" s="71">
        <v>10</v>
      </c>
      <c r="J12" s="55"/>
      <c r="K12" s="55"/>
      <c r="L12" s="55"/>
      <c r="M12" s="55"/>
    </row>
    <row r="13" spans="1:13">
      <c r="A13" s="58"/>
      <c r="B13" s="55"/>
      <c r="C13" s="81" t="s">
        <v>207</v>
      </c>
      <c r="D13" s="136"/>
      <c r="E13" s="80" t="s">
        <v>154</v>
      </c>
      <c r="F13" s="145" t="s">
        <v>181</v>
      </c>
      <c r="G13" s="145"/>
      <c r="H13" s="58"/>
      <c r="I13" s="71">
        <v>11</v>
      </c>
      <c r="J13" s="55"/>
      <c r="K13" s="55"/>
      <c r="L13" s="55"/>
      <c r="M13" s="55"/>
    </row>
    <row r="14" spans="1:13" s="82" customFormat="1">
      <c r="A14" s="83"/>
      <c r="B14" s="81"/>
      <c r="C14" s="81" t="s">
        <v>208</v>
      </c>
      <c r="D14" s="136"/>
      <c r="E14" s="80" t="s">
        <v>73</v>
      </c>
      <c r="F14" s="144">
        <f>(D14*365)+D15</f>
        <v>0</v>
      </c>
      <c r="G14" s="144" t="s">
        <v>154</v>
      </c>
      <c r="H14" s="83"/>
      <c r="I14" s="81"/>
      <c r="J14" s="81"/>
      <c r="K14" s="81"/>
      <c r="L14" s="81"/>
      <c r="M14" s="81"/>
    </row>
    <row r="15" spans="1:13">
      <c r="A15" s="58"/>
      <c r="B15" s="55"/>
      <c r="C15" s="81" t="s">
        <v>208</v>
      </c>
      <c r="D15" s="136"/>
      <c r="E15" s="80" t="s">
        <v>154</v>
      </c>
      <c r="F15" s="145" t="s">
        <v>182</v>
      </c>
      <c r="G15" s="145"/>
      <c r="H15" s="58"/>
      <c r="I15" s="55"/>
      <c r="J15" s="55"/>
      <c r="K15" s="55"/>
      <c r="L15" s="55"/>
      <c r="M15" s="55"/>
    </row>
    <row r="16" spans="1:13">
      <c r="A16" s="58"/>
      <c r="B16" s="55"/>
      <c r="C16" s="55" t="str">
        <f>IF(D8=2015,"Pensionable Earnings",IF(D8=1995,"Total Pensionable Pay","Reckonable Pay"))</f>
        <v>Reckonable Pay</v>
      </c>
      <c r="D16" s="67"/>
      <c r="E16" s="80"/>
      <c r="F16" s="81"/>
      <c r="G16" s="81"/>
      <c r="H16" s="58"/>
      <c r="I16" s="55"/>
      <c r="J16" s="55"/>
      <c r="K16" s="55"/>
      <c r="L16" s="55"/>
      <c r="M16" s="55"/>
    </row>
    <row r="17" spans="1:13" s="82" customFormat="1">
      <c r="A17" s="83"/>
      <c r="B17" s="81"/>
      <c r="C17" s="81" t="s">
        <v>209</v>
      </c>
      <c r="D17" s="85"/>
      <c r="E17" s="137"/>
      <c r="F17" s="81"/>
      <c r="G17" s="81"/>
      <c r="H17" s="83"/>
      <c r="I17" s="81"/>
      <c r="J17" s="81"/>
      <c r="K17" s="81"/>
      <c r="L17" s="81"/>
      <c r="M17" s="81"/>
    </row>
    <row r="18" spans="1:13" s="82" customFormat="1">
      <c r="A18" s="83"/>
      <c r="B18" s="81"/>
      <c r="C18" s="81" t="str">
        <f>IF(D8="","",IF(D8="2008 Optant","",IF(D8=2008,"",IF(D8=2015,"","TRS/ABS  Lump Sum"))))</f>
        <v/>
      </c>
      <c r="D18" s="85"/>
      <c r="E18" s="137"/>
      <c r="F18" s="81"/>
      <c r="G18" s="81"/>
      <c r="H18" s="83"/>
      <c r="I18" s="81"/>
      <c r="J18" s="81"/>
      <c r="K18" s="81"/>
      <c r="L18" s="81"/>
      <c r="M18" s="81"/>
    </row>
    <row r="19" spans="1:13">
      <c r="A19" s="58"/>
      <c r="B19" s="55"/>
      <c r="C19" s="81" t="s">
        <v>210</v>
      </c>
      <c r="D19" s="85"/>
      <c r="E19" s="137"/>
      <c r="F19" s="81"/>
      <c r="G19" s="81"/>
      <c r="H19" s="58"/>
      <c r="I19" s="55"/>
      <c r="J19" s="55"/>
      <c r="K19" s="55"/>
      <c r="L19" s="55"/>
      <c r="M19" s="55"/>
    </row>
    <row r="20" spans="1:13" s="82" customFormat="1">
      <c r="A20" s="83"/>
      <c r="B20" s="81"/>
      <c r="C20" s="55" t="str">
        <f>IF(D8&lt;&gt;"2008 Optant","","Manadatory Lump Sum 2008 Optants Only")</f>
        <v/>
      </c>
      <c r="D20" s="85"/>
      <c r="E20" s="81"/>
      <c r="F20" s="81"/>
      <c r="G20" s="81"/>
      <c r="H20" s="83"/>
      <c r="I20" s="81"/>
      <c r="J20" s="81"/>
      <c r="K20" s="81"/>
      <c r="L20" s="81"/>
      <c r="M20" s="81"/>
    </row>
    <row r="21" spans="1:13" s="82" customFormat="1">
      <c r="A21" s="83"/>
      <c r="B21" s="81"/>
      <c r="C21" s="55" t="str">
        <f>IF(D8=2015,"Normal Pension Age (Years)","")</f>
        <v/>
      </c>
      <c r="D21" s="86"/>
      <c r="E21" s="81"/>
      <c r="F21" s="81"/>
      <c r="G21" s="81"/>
      <c r="H21" s="83"/>
      <c r="I21" s="81"/>
      <c r="J21" s="81"/>
      <c r="K21" s="81"/>
      <c r="L21" s="81"/>
      <c r="M21" s="81"/>
    </row>
    <row r="22" spans="1:13" s="82" customFormat="1">
      <c r="A22" s="83"/>
      <c r="B22" s="81"/>
      <c r="C22" s="81" t="str">
        <f>IF(D8=2015,"Normal Pension Age (Months)","")</f>
        <v/>
      </c>
      <c r="D22" s="140"/>
      <c r="E22" s="87"/>
      <c r="F22" s="87"/>
      <c r="G22" s="87"/>
      <c r="H22" s="83"/>
      <c r="I22" s="81"/>
      <c r="J22" s="81"/>
      <c r="K22" s="81"/>
      <c r="L22" s="81"/>
      <c r="M22" s="81"/>
    </row>
    <row r="23" spans="1:13">
      <c r="A23" s="58"/>
      <c r="B23" s="55"/>
      <c r="E23" s="81"/>
      <c r="F23" s="81"/>
      <c r="G23" s="81"/>
      <c r="H23" s="58"/>
      <c r="I23" s="55"/>
      <c r="J23" s="55"/>
      <c r="K23" s="55"/>
      <c r="L23" s="55"/>
      <c r="M23" s="55"/>
    </row>
    <row r="24" spans="1:13">
      <c r="A24" s="58"/>
      <c r="B24" s="55"/>
      <c r="C24" s="87"/>
      <c r="D24" s="88"/>
      <c r="E24" s="87"/>
      <c r="F24" s="87"/>
      <c r="G24" s="81"/>
      <c r="H24" s="58"/>
      <c r="I24" s="55"/>
      <c r="J24" s="55"/>
      <c r="K24" s="55"/>
      <c r="L24" s="55"/>
      <c r="M24" s="55"/>
    </row>
    <row r="25" spans="1:13" s="82" customFormat="1" ht="24.75" customHeight="1">
      <c r="A25" s="83"/>
      <c r="B25" s="83"/>
      <c r="C25" s="83"/>
      <c r="D25" s="61"/>
      <c r="E25" s="83"/>
      <c r="F25" s="83"/>
      <c r="G25" s="83"/>
      <c r="H25" s="83"/>
      <c r="I25" s="81"/>
      <c r="J25" s="81"/>
      <c r="K25" s="81"/>
      <c r="L25" s="81"/>
      <c r="M25" s="81"/>
    </row>
    <row r="26" spans="1:13" s="82" customFormat="1" ht="24.75" customHeight="1">
      <c r="A26" s="83"/>
      <c r="B26" s="81"/>
      <c r="C26" s="81"/>
      <c r="D26" s="62"/>
      <c r="E26" s="81"/>
      <c r="F26" s="71" t="str">
        <f>IF(AND(D8=1995,D7="no",'CER 1995'!E10&lt;55),"Warning","")</f>
        <v/>
      </c>
      <c r="G26" s="138">
        <f>'CER 1995'!E10</f>
        <v>0</v>
      </c>
      <c r="H26" s="83"/>
      <c r="I26" s="81"/>
      <c r="J26" s="81"/>
      <c r="K26" s="81"/>
      <c r="L26" s="81"/>
      <c r="M26" s="81"/>
    </row>
    <row r="27" spans="1:13" s="82" customFormat="1" ht="20.25">
      <c r="A27" s="83"/>
      <c r="B27" s="81"/>
      <c r="C27" s="146" t="str">
        <f>IF(G26=0,"",IF(OR(F26="Warning",G26&lt;55),"Calculation not performed under age 55 at Retirement Date","         Early Retirement (Reduced) Benefits available at "&amp;TEXT(D10,"dd/mm/yyyy")))</f>
        <v/>
      </c>
      <c r="D27" s="146"/>
      <c r="E27" s="146"/>
      <c r="F27" s="146"/>
      <c r="G27" s="146"/>
      <c r="H27" s="83"/>
      <c r="I27" s="81"/>
      <c r="J27" s="81"/>
      <c r="K27" s="81"/>
      <c r="L27" s="81"/>
      <c r="M27" s="81"/>
    </row>
    <row r="28" spans="1:13" s="82" customFormat="1">
      <c r="A28" s="83"/>
      <c r="B28" s="81"/>
      <c r="C28" s="87"/>
      <c r="D28" s="88"/>
      <c r="E28" s="87"/>
      <c r="F28" s="87"/>
      <c r="G28" s="81"/>
      <c r="H28" s="83"/>
      <c r="I28" s="81"/>
      <c r="J28" s="81"/>
      <c r="K28" s="81"/>
      <c r="L28" s="81"/>
      <c r="M28" s="81"/>
    </row>
    <row r="29" spans="1:13" s="82" customFormat="1">
      <c r="A29" s="83"/>
      <c r="B29" s="81"/>
      <c r="C29" s="133" t="s">
        <v>196</v>
      </c>
      <c r="D29" s="134" t="str">
        <f>IF(D8=1995,'CER 1995'!J25,IF(D8=2008,'CER 2008'!J27,IF(D8="2008 Optant",'CER 2008 OPTANT'!J29,IF(D8=2015,'CER 2015'!J29,""))))</f>
        <v/>
      </c>
      <c r="E29" s="87"/>
      <c r="F29" s="87"/>
      <c r="G29" s="81"/>
      <c r="H29" s="83"/>
      <c r="I29" s="81"/>
      <c r="J29" s="81"/>
      <c r="K29" s="81"/>
      <c r="L29" s="81"/>
      <c r="M29" s="81"/>
    </row>
    <row r="30" spans="1:13" s="82" customFormat="1">
      <c r="A30" s="83"/>
      <c r="B30" s="81"/>
      <c r="C30" s="133" t="str">
        <f>IF(OR(D8=1995,D8="2008 Optant")=TRUE,"Mandatory Lump Sum","")</f>
        <v/>
      </c>
      <c r="D30" s="134" t="str">
        <f>IF(D8=1995,'CER 1995'!J26,IF(D8=2008,"",IF(D8="2008 Optant",'CER 2008 OPTANT'!J30,IF(D8=2015,"",""))))</f>
        <v/>
      </c>
      <c r="E30" s="133"/>
      <c r="F30" s="87"/>
      <c r="G30" s="81"/>
      <c r="H30" s="83"/>
      <c r="I30" s="81"/>
      <c r="J30" s="81"/>
      <c r="K30" s="81"/>
      <c r="L30" s="81"/>
      <c r="M30" s="81"/>
    </row>
    <row r="31" spans="1:13" s="82" customFormat="1">
      <c r="A31" s="83"/>
      <c r="B31" s="81"/>
      <c r="C31" s="133" t="s">
        <v>197</v>
      </c>
      <c r="D31" s="134" t="str">
        <f>IF(D8=1995,'CER 1995'!J27,IF(D8=2008,'CER 2008'!J28,IF(D8="2008 Optant",'CER 2008 OPTANT'!J31,IF(D8=2015,'CER 2015'!J30,""))))</f>
        <v/>
      </c>
      <c r="E31" s="133"/>
      <c r="F31" s="87"/>
      <c r="G31" s="81"/>
      <c r="H31" s="83"/>
      <c r="I31" s="81"/>
      <c r="J31" s="81"/>
      <c r="K31" s="81"/>
      <c r="L31" s="81"/>
      <c r="M31" s="81"/>
    </row>
    <row r="32" spans="1:13" s="82" customFormat="1">
      <c r="A32" s="83"/>
      <c r="B32" s="81"/>
      <c r="C32" s="133" t="str">
        <f>IF(OR(D8=1995,D8="2008 Optant")=TRUE,"Total Lump Sum","")</f>
        <v/>
      </c>
      <c r="D32" s="134" t="str">
        <f>IF(D8=1995,'CER 1995'!J28,IF(D8=2008,"",IF(D8="2008 Optant",'CER 2008 OPTANT'!J32,IF(D8=2015,"",""))))</f>
        <v/>
      </c>
      <c r="E32" s="133"/>
      <c r="F32" s="87"/>
      <c r="G32" s="81"/>
      <c r="H32" s="83"/>
      <c r="I32" s="81"/>
      <c r="J32" s="81"/>
      <c r="K32" s="81"/>
      <c r="L32" s="81"/>
      <c r="M32" s="81"/>
    </row>
    <row r="33" spans="1:13" s="82" customFormat="1">
      <c r="A33" s="83"/>
      <c r="B33" s="81"/>
      <c r="C33" s="133" t="s">
        <v>199</v>
      </c>
      <c r="D33" s="134" t="str">
        <f>IF(D8=1995,'CER 1995'!J29,IF(D8=2008,'CER 2008'!J29,IF(D8="2008 Optant",'CER 2008 OPTANT'!J33,IF(D8=2015,'CER 2015'!J31,""))))</f>
        <v/>
      </c>
      <c r="E33" s="133"/>
      <c r="F33" s="87"/>
      <c r="G33" s="81"/>
      <c r="H33" s="83"/>
      <c r="I33" s="81"/>
      <c r="J33" s="81"/>
      <c r="K33" s="81"/>
      <c r="L33" s="81"/>
      <c r="M33" s="81"/>
    </row>
    <row r="34" spans="1:13" s="82" customFormat="1">
      <c r="A34" s="83"/>
      <c r="B34" s="81"/>
      <c r="C34" s="133"/>
      <c r="D34" s="134"/>
      <c r="E34" s="133"/>
      <c r="F34" s="87"/>
      <c r="G34" s="81"/>
      <c r="H34" s="83"/>
      <c r="I34" s="81"/>
      <c r="J34" s="81"/>
      <c r="K34" s="81"/>
      <c r="L34" s="81"/>
      <c r="M34" s="81"/>
    </row>
    <row r="35" spans="1:13" s="82" customFormat="1">
      <c r="A35" s="83"/>
      <c r="B35" s="81"/>
      <c r="C35" s="133" t="s">
        <v>198</v>
      </c>
      <c r="D35" s="134" t="str">
        <f>IF(D8=1995,'CER 1995'!J30,IF(D8=2008,'CER 2008'!J30,IF(D8="2008 Optant",'CER 2008 OPTANT'!J34,IF(D8=2015,'CER 2015'!J32,""))))</f>
        <v/>
      </c>
      <c r="E35" s="133"/>
      <c r="F35" s="87"/>
      <c r="G35" s="81"/>
      <c r="H35" s="83"/>
      <c r="I35" s="81"/>
      <c r="J35" s="81"/>
      <c r="K35" s="81"/>
      <c r="L35" s="81"/>
      <c r="M35" s="81"/>
    </row>
    <row r="36" spans="1:13" s="82" customFormat="1">
      <c r="A36" s="83"/>
      <c r="B36" s="81"/>
      <c r="C36" s="87"/>
      <c r="D36" s="88"/>
      <c r="E36" s="87"/>
      <c r="F36" s="87"/>
      <c r="G36" s="81"/>
      <c r="H36" s="83"/>
      <c r="I36" s="81"/>
      <c r="J36" s="81"/>
      <c r="K36" s="81"/>
      <c r="L36" s="81"/>
      <c r="M36" s="81"/>
    </row>
    <row r="37" spans="1:13">
      <c r="A37" s="58"/>
      <c r="B37" s="55"/>
      <c r="C37" s="55" t="s">
        <v>153</v>
      </c>
      <c r="D37" s="135">
        <f ca="1">TODAY()</f>
        <v>42585</v>
      </c>
      <c r="E37" s="55"/>
      <c r="F37" s="55"/>
      <c r="G37" s="55"/>
      <c r="H37" s="58"/>
      <c r="I37" s="55"/>
      <c r="J37" s="55"/>
      <c r="K37" s="55"/>
      <c r="L37" s="55"/>
      <c r="M37" s="55"/>
    </row>
    <row r="38" spans="1:13">
      <c r="A38" s="58"/>
      <c r="B38" s="55"/>
      <c r="C38" s="55"/>
      <c r="D38" s="60"/>
      <c r="E38" s="55"/>
      <c r="F38" s="55"/>
      <c r="G38" s="55"/>
      <c r="H38" s="58"/>
      <c r="I38" s="55"/>
      <c r="J38" s="55"/>
      <c r="K38" s="55"/>
      <c r="L38" s="55"/>
      <c r="M38" s="55"/>
    </row>
    <row r="39" spans="1:13" ht="25.5" customHeight="1">
      <c r="A39" s="58"/>
      <c r="B39" s="58"/>
      <c r="C39" s="58"/>
      <c r="D39" s="61"/>
      <c r="E39" s="58"/>
      <c r="F39" s="58"/>
      <c r="G39" s="58"/>
      <c r="H39" s="58"/>
      <c r="I39" s="55"/>
      <c r="J39" s="55"/>
      <c r="K39" s="55"/>
      <c r="L39" s="55"/>
      <c r="M39" s="55"/>
    </row>
    <row r="40" spans="1:13">
      <c r="A40" s="55"/>
      <c r="B40" s="55"/>
      <c r="C40" s="55"/>
      <c r="E40" s="55"/>
      <c r="F40" s="55"/>
      <c r="G40" s="55"/>
      <c r="H40" s="55"/>
      <c r="I40" s="55"/>
      <c r="J40" s="55"/>
      <c r="K40" s="55"/>
      <c r="L40" s="55"/>
      <c r="M40" s="55"/>
    </row>
    <row r="41" spans="1:13" hidden="1">
      <c r="A41" s="55"/>
      <c r="B41" s="55"/>
      <c r="C41" s="55"/>
      <c r="D41" s="62"/>
      <c r="E41" s="55"/>
      <c r="F41" s="55"/>
      <c r="G41" s="55"/>
      <c r="H41" s="55"/>
      <c r="I41" s="55"/>
      <c r="J41" s="55"/>
      <c r="K41" s="55"/>
      <c r="L41" s="55"/>
      <c r="M41" s="55"/>
    </row>
    <row r="42" spans="1:13" hidden="1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</row>
    <row r="43" spans="1:13" hidden="1">
      <c r="A43" s="55"/>
      <c r="B43" s="55"/>
      <c r="C43" s="55" t="s">
        <v>104</v>
      </c>
      <c r="D43" s="63">
        <f>IF(D8="2008 Optant",(F12/21900*D16)-(D20/12),IF(D8=1995,F12/29200*D16,F12/21900*D16))</f>
        <v>0</v>
      </c>
      <c r="E43" s="55"/>
      <c r="F43" s="55"/>
      <c r="G43" s="55"/>
      <c r="H43" s="55"/>
      <c r="I43" s="55"/>
      <c r="J43" s="55"/>
      <c r="K43" s="55"/>
      <c r="L43" s="55"/>
      <c r="M43" s="55"/>
    </row>
    <row r="44" spans="1:13" hidden="1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</row>
    <row r="45" spans="1:13" hidden="1">
      <c r="A45" s="55"/>
      <c r="B45" s="55"/>
      <c r="C45" s="55" t="s">
        <v>105</v>
      </c>
      <c r="D45" s="63">
        <f>IF(D8=1995,D43*3,0)</f>
        <v>0</v>
      </c>
      <c r="E45" s="55"/>
      <c r="F45" s="55"/>
      <c r="G45" s="55"/>
      <c r="H45" s="55"/>
      <c r="I45" s="55"/>
      <c r="J45" s="55"/>
      <c r="K45" s="55"/>
      <c r="L45" s="55"/>
      <c r="M45" s="55"/>
    </row>
    <row r="46" spans="1:13" hidden="1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</row>
    <row r="47" spans="1:13" hidden="1">
      <c r="A47" s="55"/>
      <c r="B47" s="55"/>
      <c r="C47" s="55" t="s">
        <v>106</v>
      </c>
      <c r="D47" s="63" t="str">
        <f>IF(D8=1995,IF(D12&gt;2,(D43/2),"Under 2 Years Service"),IF(D8&lt;&gt;2015,IF(D12&gt;2,(D43*0.375),"Under 2 Years Service"),(D43*0.3375)))</f>
        <v>Under 2 Years Service</v>
      </c>
      <c r="E47" s="55"/>
      <c r="F47" s="55"/>
      <c r="G47" s="55"/>
      <c r="H47" s="55"/>
      <c r="I47" s="55"/>
      <c r="J47" s="55"/>
      <c r="K47" s="55"/>
      <c r="L47" s="55"/>
      <c r="M47" s="55"/>
    </row>
    <row r="48" spans="1:13" hidden="1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</row>
    <row r="49" spans="1:19" hidden="1">
      <c r="A49" s="55"/>
      <c r="B49" s="55"/>
      <c r="C49" s="55" t="s">
        <v>68</v>
      </c>
      <c r="D49" s="63" t="str">
        <f>IF(D12&gt;2,(D16*2),"Under 2 Years Service")</f>
        <v>Under 2 Years Service</v>
      </c>
      <c r="E49" s="55"/>
      <c r="F49" s="55"/>
      <c r="G49" s="55"/>
      <c r="H49" s="55"/>
      <c r="I49" s="55"/>
      <c r="J49" s="55"/>
      <c r="K49" s="55"/>
      <c r="L49" s="55"/>
      <c r="M49" s="55"/>
    </row>
    <row r="50" spans="1:19" hidden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</row>
    <row r="51" spans="1:19">
      <c r="A51" s="55"/>
      <c r="B51" s="55"/>
      <c r="D51" s="55"/>
      <c r="E51" s="55"/>
      <c r="F51" s="55"/>
      <c r="G51" s="55"/>
      <c r="H51" s="55"/>
      <c r="I51" s="55"/>
      <c r="J51" s="55"/>
      <c r="K51" s="55"/>
      <c r="L51" s="55"/>
      <c r="M51" s="55"/>
    </row>
    <row r="52" spans="1:19">
      <c r="A52" s="55"/>
      <c r="B52" s="55"/>
      <c r="C52" s="81"/>
      <c r="D52" s="55"/>
      <c r="E52" s="55"/>
      <c r="F52" s="55"/>
      <c r="G52" s="55"/>
      <c r="H52" s="55"/>
      <c r="I52" s="55"/>
      <c r="J52" s="55"/>
      <c r="K52" s="55"/>
      <c r="L52" s="55"/>
      <c r="M52" s="55"/>
    </row>
    <row r="53" spans="1:19">
      <c r="A53" s="55"/>
      <c r="B53" s="55"/>
      <c r="C53" s="81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</row>
    <row r="54" spans="1:19">
      <c r="A54" s="55"/>
      <c r="B54" s="55"/>
      <c r="C54" s="81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</row>
    <row r="55" spans="1:19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</row>
    <row r="56" spans="1:19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</row>
    <row r="57" spans="1:19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</row>
    <row r="58" spans="1:19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</row>
    <row r="59" spans="1:19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</row>
    <row r="60" spans="1:19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</row>
    <row r="61" spans="1:19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</row>
    <row r="62" spans="1:19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</row>
    <row r="63" spans="1:19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</row>
    <row r="64" spans="1:19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1:19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1:19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1:19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1:19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1:19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70" spans="1:19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</row>
    <row r="71" spans="1:19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</row>
    <row r="72" spans="1:19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</row>
    <row r="73" spans="1:19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</row>
    <row r="74" spans="1:19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</row>
    <row r="75" spans="1:19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</row>
    <row r="76" spans="1:19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</row>
    <row r="77" spans="1:19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</row>
    <row r="78" spans="1:19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</row>
    <row r="79" spans="1:19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</row>
    <row r="80" spans="1:19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</row>
    <row r="81" spans="1:19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</row>
    <row r="82" spans="1:19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</row>
    <row r="83" spans="1:19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</row>
    <row r="84" spans="1:19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</row>
    <row r="85" spans="1:19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</row>
    <row r="86" spans="1:19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</row>
    <row r="87" spans="1:19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</row>
    <row r="88" spans="1:19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</row>
    <row r="89" spans="1:19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</row>
    <row r="90" spans="1:19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</row>
    <row r="91" spans="1:19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</row>
    <row r="92" spans="1:19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</row>
    <row r="93" spans="1:19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</row>
    <row r="94" spans="1:19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</row>
    <row r="95" spans="1:19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</row>
    <row r="96" spans="1:19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</row>
    <row r="97" spans="1:19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</row>
    <row r="98" spans="1:19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</row>
    <row r="99" spans="1:19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</row>
    <row r="100" spans="1:19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</row>
    <row r="101" spans="1:19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</row>
  </sheetData>
  <sheetProtection password="CD6C" sheet="1" objects="1" scenarios="1" selectLockedCells="1"/>
  <mergeCells count="3">
    <mergeCell ref="F13:G13"/>
    <mergeCell ref="F15:G15"/>
    <mergeCell ref="C27:G27"/>
  </mergeCells>
  <conditionalFormatting sqref="D17:D19">
    <cfRule type="expression" dxfId="11" priority="9">
      <formula>#REF!=""</formula>
    </cfRule>
    <cfRule type="expression" dxfId="10" priority="11">
      <formula>#REF!="Service and Salary"</formula>
    </cfRule>
  </conditionalFormatting>
  <conditionalFormatting sqref="C27:G27">
    <cfRule type="expression" dxfId="9" priority="3">
      <formula>$G$26&lt;55</formula>
    </cfRule>
    <cfRule type="expression" dxfId="8" priority="8">
      <formula>$F$26="Warning"</formula>
    </cfRule>
  </conditionalFormatting>
  <conditionalFormatting sqref="C29:D37">
    <cfRule type="expression" dxfId="7" priority="7">
      <formula>$F$26="Warning"</formula>
    </cfRule>
  </conditionalFormatting>
  <conditionalFormatting sqref="C20:D20">
    <cfRule type="expression" dxfId="6" priority="44">
      <formula>$D$8&lt;&gt;"2008 Optant"</formula>
    </cfRule>
  </conditionalFormatting>
  <conditionalFormatting sqref="F23 C21:E22">
    <cfRule type="expression" dxfId="5" priority="45">
      <formula>$D$8&lt;&gt;2015</formula>
    </cfRule>
  </conditionalFormatting>
  <conditionalFormatting sqref="D18">
    <cfRule type="expression" dxfId="4" priority="46">
      <formula>$D$8&lt;&gt;1995</formula>
    </cfRule>
  </conditionalFormatting>
  <conditionalFormatting sqref="C28:G37">
    <cfRule type="expression" dxfId="3" priority="4">
      <formula>$G$26&lt;55</formula>
    </cfRule>
  </conditionalFormatting>
  <conditionalFormatting sqref="F12:F15 G14 G12">
    <cfRule type="expression" dxfId="2" priority="2">
      <formula>$D$13=""</formula>
    </cfRule>
  </conditionalFormatting>
  <conditionalFormatting sqref="C27:G37">
    <cfRule type="expression" dxfId="1" priority="56">
      <formula>$D$10=""</formula>
    </cfRule>
  </conditionalFormatting>
  <conditionalFormatting sqref="C12:E15">
    <cfRule type="expression" dxfId="0" priority="1">
      <formula>$D$8=2015</formula>
    </cfRule>
  </conditionalFormatting>
  <dataValidations count="7">
    <dataValidation type="date" allowBlank="1" showInputMessage="1" showErrorMessage="1" sqref="D9">
      <formula1>14611</formula1>
      <formula2>51136</formula2>
    </dataValidation>
    <dataValidation type="list" allowBlank="1" showInputMessage="1" showErrorMessage="1" sqref="D21">
      <formula1>$F$8:$F$11</formula1>
    </dataValidation>
    <dataValidation type="list" allowBlank="1" showInputMessage="1" showErrorMessage="1" sqref="D22">
      <formula1>$I$2:$I$13</formula1>
    </dataValidation>
    <dataValidation type="whole" allowBlank="1" showInputMessage="1" showErrorMessage="1" sqref="D13:D15">
      <formula1>0</formula1>
      <formula2>364</formula2>
    </dataValidation>
    <dataValidation type="whole" allowBlank="1" showInputMessage="1" showErrorMessage="1" sqref="D12">
      <formula1>0</formula1>
      <formula2>45</formula2>
    </dataValidation>
    <dataValidation type="list" allowBlank="1" showInputMessage="1" showErrorMessage="1" sqref="D8">
      <formula1>$E$4:$E$7</formula1>
    </dataValidation>
    <dataValidation type="list" allowBlank="1" showInputMessage="1" showErrorMessage="1" sqref="D7">
      <formula1>$F$6:$F$7</formula1>
    </dataValidation>
  </dataValidations>
  <pageMargins left="0.70866141732283472" right="0.70866141732283472" top="0.74803149606299213" bottom="0.74803149606299213" header="0.31496062992125984" footer="0.31496062992125984"/>
  <pageSetup paperSize="9" scale="79" orientation="landscape" r:id="rId1"/>
  <ignoredErrors>
    <ignoredError sqref="D37" unlockedFormula="1"/>
    <ignoredError sqref="D29:D30 D31:D32 D33 D35 F26:G26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2:L47"/>
  <sheetViews>
    <sheetView workbookViewId="0">
      <selection activeCell="F15" sqref="F15"/>
    </sheetView>
  </sheetViews>
  <sheetFormatPr defaultRowHeight="15"/>
  <cols>
    <col min="2" max="2" width="42.85546875" customWidth="1"/>
  </cols>
  <sheetData>
    <row r="2" spans="1:9">
      <c r="A2" s="8"/>
      <c r="B2" s="1" t="s">
        <v>0</v>
      </c>
    </row>
    <row r="3" spans="1:9">
      <c r="B3" s="2"/>
    </row>
    <row r="4" spans="1:9">
      <c r="B4" s="3" t="s">
        <v>1</v>
      </c>
      <c r="H4" s="3" t="s">
        <v>2</v>
      </c>
    </row>
    <row r="5" spans="1:9">
      <c r="B5" s="3"/>
    </row>
    <row r="6" spans="1:9">
      <c r="B6" s="3" t="s">
        <v>3</v>
      </c>
      <c r="H6" s="3" t="s">
        <v>4</v>
      </c>
    </row>
    <row r="7" spans="1:9">
      <c r="B7" s="3" t="s">
        <v>5</v>
      </c>
      <c r="H7" s="3" t="s">
        <v>6</v>
      </c>
    </row>
    <row r="8" spans="1:9">
      <c r="B8" s="3" t="s">
        <v>7</v>
      </c>
      <c r="C8" s="3" t="s">
        <v>8</v>
      </c>
      <c r="D8" s="3" t="s">
        <v>9</v>
      </c>
    </row>
    <row r="9" spans="1:9">
      <c r="B9" s="3" t="s">
        <v>10</v>
      </c>
      <c r="C9" s="3" t="s">
        <v>11</v>
      </c>
      <c r="D9" s="3" t="s">
        <v>12</v>
      </c>
      <c r="E9" s="3" t="s">
        <v>13</v>
      </c>
    </row>
    <row r="10" spans="1:9">
      <c r="B10" s="3"/>
    </row>
    <row r="11" spans="1:9">
      <c r="B11" s="3" t="s">
        <v>14</v>
      </c>
      <c r="H11" s="3" t="s">
        <v>15</v>
      </c>
    </row>
    <row r="12" spans="1:9">
      <c r="B12" s="3" t="s">
        <v>16</v>
      </c>
      <c r="H12" s="3" t="s">
        <v>17</v>
      </c>
    </row>
    <row r="13" spans="1:9">
      <c r="B13" s="3" t="s">
        <v>18</v>
      </c>
      <c r="H13" s="4" t="s">
        <v>19</v>
      </c>
    </row>
    <row r="14" spans="1:9">
      <c r="B14" s="3" t="s">
        <v>20</v>
      </c>
      <c r="F14" s="3" t="s">
        <v>21</v>
      </c>
      <c r="I14" s="3" t="s">
        <v>22</v>
      </c>
    </row>
    <row r="15" spans="1:9">
      <c r="B15" s="3" t="s">
        <v>23</v>
      </c>
      <c r="F15" s="3" t="s">
        <v>24</v>
      </c>
      <c r="I15" s="3" t="s">
        <v>25</v>
      </c>
    </row>
    <row r="16" spans="1:9">
      <c r="B16" s="3" t="s">
        <v>26</v>
      </c>
      <c r="F16" s="3" t="s">
        <v>27</v>
      </c>
    </row>
    <row r="17" spans="2:12">
      <c r="B17" s="3"/>
    </row>
    <row r="18" spans="2:12">
      <c r="B18" s="5" t="s">
        <v>28</v>
      </c>
    </row>
    <row r="19" spans="2:12">
      <c r="B19" s="6" t="s">
        <v>29</v>
      </c>
    </row>
    <row r="20" spans="2:12">
      <c r="B20" s="6"/>
    </row>
    <row r="21" spans="2:12">
      <c r="B21" s="3" t="s">
        <v>30</v>
      </c>
      <c r="C21" s="3" t="s">
        <v>31</v>
      </c>
      <c r="E21" s="3" t="s">
        <v>32</v>
      </c>
    </row>
    <row r="22" spans="2:12">
      <c r="B22" s="3" t="s">
        <v>33</v>
      </c>
    </row>
    <row r="23" spans="2:12">
      <c r="B23" s="3" t="s">
        <v>34</v>
      </c>
      <c r="C23" s="3" t="s">
        <v>35</v>
      </c>
      <c r="E23" s="3" t="s">
        <v>36</v>
      </c>
      <c r="F23" s="3" t="s">
        <v>37</v>
      </c>
      <c r="I23" s="3" t="s">
        <v>38</v>
      </c>
    </row>
    <row r="24" spans="2:12">
      <c r="L24" s="3" t="s">
        <v>39</v>
      </c>
    </row>
    <row r="25" spans="2:12">
      <c r="B25" s="3"/>
    </row>
    <row r="26" spans="2:12">
      <c r="B26" s="6" t="s">
        <v>40</v>
      </c>
    </row>
    <row r="27" spans="2:12">
      <c r="B27" s="6"/>
    </row>
    <row r="28" spans="2:12">
      <c r="B28" s="5" t="s">
        <v>41</v>
      </c>
    </row>
    <row r="29" spans="2:12">
      <c r="B29" s="6" t="s">
        <v>42</v>
      </c>
      <c r="C29" s="6" t="s">
        <v>43</v>
      </c>
      <c r="F29" s="6" t="s">
        <v>44</v>
      </c>
    </row>
    <row r="30" spans="2:12">
      <c r="B30" s="6"/>
    </row>
    <row r="31" spans="2:12">
      <c r="B31" s="7" t="s">
        <v>45</v>
      </c>
    </row>
    <row r="32" spans="2:12">
      <c r="B32" s="3"/>
    </row>
    <row r="33" spans="2:11">
      <c r="B33" s="3" t="s">
        <v>46</v>
      </c>
      <c r="E33" s="3" t="s">
        <v>47</v>
      </c>
      <c r="H33" s="3" t="s">
        <v>48</v>
      </c>
    </row>
    <row r="34" spans="2:11">
      <c r="B34" s="3"/>
    </row>
    <row r="35" spans="2:11">
      <c r="B35" s="3" t="s">
        <v>49</v>
      </c>
      <c r="F35" s="3" t="s">
        <v>50</v>
      </c>
      <c r="J35" s="3" t="s">
        <v>51</v>
      </c>
    </row>
    <row r="36" spans="2:11">
      <c r="B36" s="3"/>
    </row>
    <row r="37" spans="2:11">
      <c r="B37" s="7" t="s">
        <v>52</v>
      </c>
    </row>
    <row r="38" spans="2:11">
      <c r="B38" s="3"/>
    </row>
    <row r="39" spans="2:11">
      <c r="B39" s="3" t="s">
        <v>53</v>
      </c>
      <c r="E39" s="3" t="s">
        <v>54</v>
      </c>
      <c r="I39" s="3" t="s">
        <v>55</v>
      </c>
    </row>
    <row r="40" spans="2:11">
      <c r="B40" s="3"/>
    </row>
    <row r="41" spans="2:11">
      <c r="B41" s="3" t="s">
        <v>56</v>
      </c>
      <c r="F41" s="3" t="s">
        <v>50</v>
      </c>
      <c r="J41" s="3" t="s">
        <v>57</v>
      </c>
    </row>
    <row r="42" spans="2:11">
      <c r="B42" s="3"/>
    </row>
    <row r="43" spans="2:11">
      <c r="B43" s="6" t="s">
        <v>58</v>
      </c>
    </row>
    <row r="44" spans="2:11">
      <c r="B44" s="3" t="s">
        <v>59</v>
      </c>
      <c r="F44" s="3" t="s">
        <v>60</v>
      </c>
      <c r="G44" s="3" t="s">
        <v>61</v>
      </c>
      <c r="K44" s="3" t="s">
        <v>62</v>
      </c>
    </row>
    <row r="45" spans="2:11">
      <c r="B45" s="3"/>
    </row>
    <row r="46" spans="2:11">
      <c r="B46" s="6" t="s">
        <v>63</v>
      </c>
    </row>
    <row r="47" spans="2:11">
      <c r="B47" s="3" t="s">
        <v>64</v>
      </c>
      <c r="E47" s="3" t="s">
        <v>60</v>
      </c>
      <c r="F47" s="3" t="s">
        <v>65</v>
      </c>
      <c r="J47" s="3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FF00"/>
    <pageSetUpPr fitToPage="1"/>
  </sheetPr>
  <dimension ref="A1:P78"/>
  <sheetViews>
    <sheetView zoomScaleNormal="100" workbookViewId="0">
      <selection activeCell="F19" sqref="F19"/>
    </sheetView>
  </sheetViews>
  <sheetFormatPr defaultRowHeight="15"/>
  <cols>
    <col min="2" max="2" width="6.7109375" customWidth="1"/>
    <col min="3" max="3" width="18.140625" customWidth="1"/>
    <col min="4" max="4" width="10.85546875" customWidth="1"/>
    <col min="5" max="5" width="10" customWidth="1"/>
    <col min="8" max="8" width="3.5703125" customWidth="1"/>
    <col min="9" max="9" width="23.5703125" customWidth="1"/>
    <col min="10" max="11" width="9.85546875" customWidth="1"/>
    <col min="14" max="14" width="12.5703125" customWidth="1"/>
  </cols>
  <sheetData>
    <row r="1" spans="2:16" ht="18">
      <c r="B1" s="19" t="s">
        <v>191</v>
      </c>
      <c r="C1" s="9"/>
    </row>
    <row r="2" spans="2:16" ht="18">
      <c r="B2" s="19"/>
      <c r="C2" s="9"/>
    </row>
    <row r="3" spans="2:16">
      <c r="B3" s="2"/>
      <c r="C3" s="2"/>
    </row>
    <row r="4" spans="2:16">
      <c r="B4" s="3" t="s">
        <v>1</v>
      </c>
      <c r="C4" s="3"/>
      <c r="D4" s="175" t="e">
        <f>Input!#REF!</f>
        <v>#REF!</v>
      </c>
      <c r="E4" s="176"/>
      <c r="F4" s="176"/>
      <c r="G4" s="177"/>
      <c r="I4" s="3" t="s">
        <v>2</v>
      </c>
      <c r="J4" s="170">
        <f>Input!D7</f>
        <v>0</v>
      </c>
      <c r="K4" s="171"/>
      <c r="L4" s="172"/>
    </row>
    <row r="5" spans="2:16">
      <c r="B5" s="3"/>
      <c r="C5" s="3"/>
    </row>
    <row r="6" spans="2:16">
      <c r="B6" s="3" t="s">
        <v>69</v>
      </c>
      <c r="C6" s="3"/>
      <c r="D6" s="12">
        <v>1995</v>
      </c>
      <c r="I6" s="3" t="s">
        <v>100</v>
      </c>
      <c r="J6" s="12">
        <v>60</v>
      </c>
    </row>
    <row r="7" spans="2:16">
      <c r="B7" s="3"/>
      <c r="C7" s="3"/>
      <c r="N7" s="17"/>
    </row>
    <row r="8" spans="2:16">
      <c r="B8" s="3" t="s">
        <v>5</v>
      </c>
      <c r="C8" s="3"/>
      <c r="D8" s="178">
        <f>Input!D9</f>
        <v>0</v>
      </c>
      <c r="E8" s="179"/>
      <c r="I8" s="3" t="s">
        <v>75</v>
      </c>
      <c r="J8" s="173">
        <f>DATE(YEAR(D8)+J6,MONTH(D8),DAY(D8)-1)</f>
        <v>21914</v>
      </c>
      <c r="K8" s="174"/>
      <c r="P8" s="17"/>
    </row>
    <row r="9" spans="2:16">
      <c r="B9" s="3"/>
      <c r="C9" s="3"/>
      <c r="F9" s="11"/>
      <c r="I9" s="3"/>
      <c r="N9" s="17"/>
    </row>
    <row r="10" spans="2:16">
      <c r="B10" s="3" t="s">
        <v>202</v>
      </c>
      <c r="C10" s="3"/>
      <c r="D10" s="3" t="s">
        <v>8</v>
      </c>
      <c r="E10" s="68">
        <f>DATEDIF(D8,J10,"Y")</f>
        <v>0</v>
      </c>
      <c r="F10" s="3" t="s">
        <v>9</v>
      </c>
      <c r="G10" s="68">
        <f>DATEDIF(D8,J10,"M")-(E10*12)</f>
        <v>0</v>
      </c>
      <c r="I10" s="3" t="s">
        <v>184</v>
      </c>
      <c r="J10" s="178">
        <f>Input!D10</f>
        <v>0</v>
      </c>
      <c r="K10" s="179"/>
      <c r="N10" s="32"/>
    </row>
    <row r="11" spans="2:16">
      <c r="B11" s="3"/>
      <c r="C11" s="3"/>
      <c r="D11" s="3"/>
      <c r="E11" s="43"/>
      <c r="F11" s="3"/>
      <c r="G11" s="43"/>
      <c r="N11" s="17"/>
    </row>
    <row r="12" spans="2:16">
      <c r="B12" s="3" t="s">
        <v>10</v>
      </c>
      <c r="C12" s="3"/>
      <c r="D12" s="3" t="s">
        <v>11</v>
      </c>
      <c r="E12" s="69">
        <f>INT(((J6*12)-((E10*12)+G10))/12)</f>
        <v>60</v>
      </c>
      <c r="F12" s="3" t="s">
        <v>9</v>
      </c>
      <c r="G12" s="69">
        <f>J6*12-((E10*12)+G10)-(E12*12)</f>
        <v>0</v>
      </c>
      <c r="H12" s="180" t="s">
        <v>107</v>
      </c>
      <c r="I12" s="160"/>
      <c r="J12" s="160"/>
    </row>
    <row r="13" spans="2:16">
      <c r="B13" s="3"/>
      <c r="C13" s="3"/>
    </row>
    <row r="14" spans="2:16">
      <c r="B14" s="3" t="s">
        <v>125</v>
      </c>
      <c r="C14" s="3"/>
      <c r="D14" s="168" t="e">
        <f>INDEX('VER Factors'!D7:O17, MATCH(E10,'VER Factors'!C7:C17,0), MATCH(($G$10),'VER Factors'!D7:O7,0))</f>
        <v>#N/A</v>
      </c>
      <c r="E14" s="169"/>
      <c r="I14" s="3" t="s">
        <v>203</v>
      </c>
      <c r="J14" s="163">
        <v>39539</v>
      </c>
      <c r="K14" s="164"/>
    </row>
    <row r="15" spans="2:16">
      <c r="B15" s="3" t="s">
        <v>126</v>
      </c>
      <c r="C15" s="3"/>
      <c r="D15" s="165" t="e">
        <f>INDEX('VER Factors'!D27:O37, MATCH(($E$10),'VER Factors'!C27:C37,0), MATCH(($G$10),'VER Factors'!D27:O27,0))</f>
        <v>#N/A</v>
      </c>
      <c r="E15" s="166"/>
      <c r="I15" s="3"/>
      <c r="J15" s="167"/>
      <c r="K15" s="167"/>
    </row>
    <row r="16" spans="2:16">
      <c r="J16" s="4"/>
    </row>
    <row r="17" spans="2:12" s="54" customFormat="1">
      <c r="J17" s="4"/>
    </row>
    <row r="18" spans="2:12" s="54" customFormat="1">
      <c r="B18" s="3" t="s">
        <v>185</v>
      </c>
      <c r="C18" s="3"/>
      <c r="D18" s="3"/>
      <c r="E18" s="3"/>
      <c r="F18" s="12">
        <f>IF(Input!D7="Yes",DATEDIF(J18,J10,"d"),0)-1</f>
        <v>-1</v>
      </c>
      <c r="G18" s="54" t="s">
        <v>154</v>
      </c>
      <c r="I18" s="54" t="s">
        <v>186</v>
      </c>
      <c r="J18" s="150">
        <f>Input!D11</f>
        <v>0</v>
      </c>
      <c r="K18" s="151"/>
    </row>
    <row r="19" spans="2:12" s="54" customFormat="1">
      <c r="B19" s="3" t="s">
        <v>190</v>
      </c>
      <c r="C19" s="3"/>
      <c r="D19" s="3"/>
      <c r="E19" s="3"/>
      <c r="F19" s="12" t="e">
        <f>ROUNDUP(Input!F12/Input!F14*F18,0)</f>
        <v>#DIV/0!</v>
      </c>
      <c r="G19" s="54" t="s">
        <v>154</v>
      </c>
      <c r="J19" s="102"/>
      <c r="K19" s="103"/>
    </row>
    <row r="20" spans="2:12" s="54" customFormat="1">
      <c r="B20" s="3"/>
      <c r="C20" s="3"/>
      <c r="D20" s="3"/>
      <c r="E20" s="3"/>
      <c r="J20" s="102"/>
      <c r="K20" s="103"/>
    </row>
    <row r="21" spans="2:12" s="54" customFormat="1">
      <c r="B21" s="3" t="s">
        <v>187</v>
      </c>
      <c r="C21" s="3"/>
      <c r="D21" s="3"/>
      <c r="E21" s="3"/>
      <c r="F21" s="149" t="e">
        <f>ROUND(IF(F18&lt;&gt;F19,F19,F18)*Input!D16/29200,2)</f>
        <v>#DIV/0!</v>
      </c>
      <c r="G21" s="149"/>
      <c r="J21" s="4"/>
    </row>
    <row r="22" spans="2:12" s="54" customFormat="1">
      <c r="B22" s="152" t="s">
        <v>188</v>
      </c>
      <c r="C22" s="152"/>
      <c r="D22" s="152"/>
      <c r="E22" s="152"/>
      <c r="F22" s="149" t="e">
        <f>F21*3</f>
        <v>#DIV/0!</v>
      </c>
      <c r="G22" s="149"/>
      <c r="J22" s="4"/>
    </row>
    <row r="23" spans="2:12" s="54" customFormat="1">
      <c r="B23" s="147" t="s">
        <v>189</v>
      </c>
      <c r="C23" s="147"/>
      <c r="D23" s="147"/>
      <c r="E23" s="148"/>
      <c r="F23" s="149" t="e">
        <f>ROUND(F21*0.5,2)</f>
        <v>#DIV/0!</v>
      </c>
      <c r="G23" s="149"/>
      <c r="J23" s="4"/>
    </row>
    <row r="24" spans="2:12">
      <c r="J24" s="4"/>
    </row>
    <row r="25" spans="2:12">
      <c r="B25" s="14" t="s">
        <v>127</v>
      </c>
      <c r="C25" s="13"/>
      <c r="D25" s="153" t="e">
        <f>Input!D17+F21</f>
        <v>#DIV/0!</v>
      </c>
      <c r="E25" s="154"/>
      <c r="F25" s="15"/>
      <c r="I25" s="14" t="s">
        <v>133</v>
      </c>
      <c r="J25" s="153" t="e">
        <f>D25*D14</f>
        <v>#DIV/0!</v>
      </c>
      <c r="K25" s="154"/>
      <c r="L25" s="3"/>
    </row>
    <row r="26" spans="2:12">
      <c r="B26" s="14" t="s">
        <v>128</v>
      </c>
      <c r="C26" s="13"/>
      <c r="D26" s="153" t="e">
        <f>Input!D18+F22</f>
        <v>#DIV/0!</v>
      </c>
      <c r="E26" s="154"/>
      <c r="F26" s="15"/>
      <c r="I26" s="14" t="s">
        <v>134</v>
      </c>
      <c r="J26" s="153" t="e">
        <f>D26*D15</f>
        <v>#DIV/0!</v>
      </c>
      <c r="K26" s="154"/>
      <c r="L26" s="3"/>
    </row>
    <row r="27" spans="2:12">
      <c r="B27" s="14" t="s">
        <v>129</v>
      </c>
      <c r="C27" s="13"/>
      <c r="D27" s="153">
        <f>IF(Input!D11&lt;J14,0,12*ROUNDDOWN((ROUND((D25*(30/7))-(D26*(9/14)),2))/12,0))</f>
        <v>0</v>
      </c>
      <c r="E27" s="154"/>
      <c r="F27" s="15"/>
      <c r="I27" s="14" t="s">
        <v>129</v>
      </c>
      <c r="J27" s="153">
        <f>IF(Input!D11&lt;'CER 1995'!J14:K14,0,12*ROUNDDOWN((ROUND((J25*(30/7))-(J26*(9/14)),2))/12,0))</f>
        <v>0</v>
      </c>
      <c r="K27" s="154"/>
    </row>
    <row r="28" spans="2:12">
      <c r="B28" s="14" t="s">
        <v>130</v>
      </c>
      <c r="C28" s="13"/>
      <c r="D28" s="153" t="e">
        <f>D27+D26</f>
        <v>#DIV/0!</v>
      </c>
      <c r="E28" s="154"/>
      <c r="F28" s="15"/>
      <c r="I28" s="14" t="s">
        <v>130</v>
      </c>
      <c r="J28" s="153" t="e">
        <f>J26+J27</f>
        <v>#DIV/0!</v>
      </c>
      <c r="K28" s="154"/>
    </row>
    <row r="29" spans="2:12">
      <c r="B29" s="14" t="s">
        <v>131</v>
      </c>
      <c r="C29" s="13"/>
      <c r="D29" s="153" t="e">
        <f>D25-(D27/12)</f>
        <v>#DIV/0!</v>
      </c>
      <c r="E29" s="154"/>
      <c r="F29" s="15"/>
      <c r="I29" s="14" t="s">
        <v>131</v>
      </c>
      <c r="J29" s="153" t="e">
        <f>J25-(J27/12)</f>
        <v>#DIV/0!</v>
      </c>
      <c r="K29" s="154"/>
    </row>
    <row r="30" spans="2:12">
      <c r="B30" s="14" t="s">
        <v>132</v>
      </c>
      <c r="D30" s="182" t="e">
        <f>Input!D19+'CER 1995'!F23</f>
        <v>#DIV/0!</v>
      </c>
      <c r="E30" s="182"/>
      <c r="I30" s="14" t="s">
        <v>135</v>
      </c>
      <c r="J30" s="153" t="e">
        <f>D30</f>
        <v>#DIV/0!</v>
      </c>
      <c r="K30" s="154"/>
    </row>
    <row r="31" spans="2:12">
      <c r="B31" s="14"/>
      <c r="C31" s="13"/>
      <c r="D31" s="181"/>
      <c r="E31" s="181"/>
      <c r="F31" s="3"/>
      <c r="I31" s="14"/>
      <c r="J31" s="35"/>
      <c r="K31" s="35"/>
    </row>
    <row r="32" spans="2:12">
      <c r="B32" s="3"/>
      <c r="C32" s="3"/>
      <c r="I32" s="93" t="s">
        <v>180</v>
      </c>
      <c r="J32" s="153" t="e">
        <f>D25-J25</f>
        <v>#DIV/0!</v>
      </c>
      <c r="K32" s="154"/>
      <c r="L32" s="3"/>
    </row>
    <row r="33" spans="1:14">
      <c r="A33" s="11"/>
      <c r="B33" s="108"/>
      <c r="C33" s="108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</row>
    <row r="34" spans="1:14">
      <c r="A34" s="11"/>
      <c r="B34" s="36"/>
      <c r="C34" s="36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</row>
    <row r="35" spans="1:14">
      <c r="A35" s="11"/>
      <c r="B35" s="36"/>
      <c r="C35" s="36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</row>
    <row r="36" spans="1:14">
      <c r="A36" s="11"/>
      <c r="B36" s="70"/>
      <c r="C36" s="70"/>
      <c r="D36" s="109"/>
      <c r="E36" s="157"/>
      <c r="F36" s="157"/>
      <c r="G36" s="160"/>
      <c r="H36" s="159"/>
      <c r="I36" s="39"/>
      <c r="J36" s="160"/>
      <c r="K36" s="160"/>
      <c r="L36" s="157"/>
      <c r="M36" s="157"/>
      <c r="N36" s="11"/>
    </row>
    <row r="37" spans="1:14">
      <c r="A37" s="11"/>
      <c r="B37" s="70"/>
      <c r="C37" s="70"/>
      <c r="D37" s="70"/>
      <c r="E37" s="99"/>
      <c r="F37" s="100"/>
      <c r="G37" s="70"/>
      <c r="H37" s="11"/>
      <c r="I37" s="70"/>
      <c r="J37" s="11"/>
      <c r="K37" s="11"/>
      <c r="L37" s="11"/>
      <c r="M37" s="11"/>
      <c r="N37" s="11"/>
    </row>
    <row r="38" spans="1:14">
      <c r="A38" s="11"/>
      <c r="B38" s="70"/>
      <c r="C38" s="70"/>
      <c r="D38" s="109"/>
      <c r="E38" s="157"/>
      <c r="F38" s="157"/>
      <c r="G38" s="70"/>
      <c r="H38" s="70"/>
      <c r="I38" s="111"/>
      <c r="J38" s="183"/>
      <c r="K38" s="183"/>
      <c r="L38" s="184"/>
      <c r="M38" s="184"/>
      <c r="N38" s="11"/>
    </row>
    <row r="39" spans="1:14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</row>
    <row r="40" spans="1:14">
      <c r="A40" s="11"/>
      <c r="B40" s="36"/>
      <c r="C40" s="36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</row>
    <row r="41" spans="1:14">
      <c r="A41" s="11"/>
      <c r="B41" s="36"/>
      <c r="C41" s="36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</row>
    <row r="42" spans="1:14">
      <c r="A42" s="11"/>
      <c r="B42" s="70"/>
      <c r="C42" s="36"/>
      <c r="D42" s="11"/>
      <c r="E42" s="11"/>
      <c r="F42" s="11"/>
      <c r="G42" s="36"/>
      <c r="H42" s="11"/>
      <c r="I42" s="112"/>
      <c r="J42" s="113"/>
      <c r="K42" s="11"/>
      <c r="L42" s="11"/>
      <c r="M42" s="11"/>
      <c r="N42" s="11"/>
    </row>
    <row r="43" spans="1:14">
      <c r="A43" s="11"/>
      <c r="B43" s="36"/>
      <c r="C43" s="36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</row>
    <row r="44" spans="1:14">
      <c r="A44" s="11"/>
      <c r="B44" s="108"/>
      <c r="C44" s="108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</row>
    <row r="45" spans="1:14">
      <c r="A45" s="11"/>
      <c r="B45" s="108"/>
      <c r="C45" s="114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</row>
    <row r="46" spans="1:14">
      <c r="A46" s="11"/>
      <c r="B46" s="70"/>
      <c r="C46" s="70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</row>
    <row r="47" spans="1:14">
      <c r="A47" s="11"/>
      <c r="B47" s="70"/>
      <c r="C47" s="70"/>
      <c r="D47" s="109"/>
      <c r="E47" s="157"/>
      <c r="F47" s="157"/>
      <c r="G47" s="158"/>
      <c r="H47" s="159"/>
      <c r="I47" s="39"/>
      <c r="J47" s="160"/>
      <c r="K47" s="160"/>
      <c r="L47" s="157"/>
      <c r="M47" s="157"/>
      <c r="N47" s="11"/>
    </row>
    <row r="48" spans="1:14">
      <c r="A48" s="11"/>
      <c r="B48" s="70"/>
      <c r="C48" s="70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</row>
    <row r="49" spans="1:14">
      <c r="A49" s="11"/>
      <c r="B49" s="70"/>
      <c r="C49" s="38"/>
      <c r="D49" s="115"/>
      <c r="E49" s="157"/>
      <c r="F49" s="157"/>
      <c r="G49" s="160"/>
      <c r="H49" s="160"/>
      <c r="I49" s="39"/>
      <c r="J49" s="160"/>
      <c r="K49" s="160"/>
      <c r="L49" s="162"/>
      <c r="M49" s="162"/>
      <c r="N49" s="11"/>
    </row>
    <row r="50" spans="1:14">
      <c r="A50" s="11"/>
      <c r="B50" s="70"/>
      <c r="C50" s="70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</row>
    <row r="51" spans="1:14">
      <c r="A51" s="11"/>
      <c r="B51" s="108"/>
      <c r="C51" s="114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</row>
    <row r="52" spans="1:14">
      <c r="A52" s="11"/>
      <c r="B52" s="70"/>
      <c r="C52" s="70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</row>
    <row r="53" spans="1:14">
      <c r="A53" s="11"/>
      <c r="B53" s="70"/>
      <c r="C53" s="70"/>
      <c r="D53" s="109"/>
      <c r="E53" s="157"/>
      <c r="F53" s="157"/>
      <c r="G53" s="158"/>
      <c r="H53" s="159"/>
      <c r="I53" s="39"/>
      <c r="J53" s="160"/>
      <c r="K53" s="160"/>
      <c r="L53" s="157"/>
      <c r="M53" s="157"/>
      <c r="N53" s="11"/>
    </row>
    <row r="54" spans="1:14">
      <c r="A54" s="11"/>
      <c r="B54" s="70"/>
      <c r="C54" s="70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</row>
    <row r="55" spans="1:14">
      <c r="A55" s="11"/>
      <c r="B55" s="70"/>
      <c r="C55" s="38"/>
      <c r="D55" s="115"/>
      <c r="E55" s="157"/>
      <c r="F55" s="157"/>
      <c r="G55" s="160"/>
      <c r="H55" s="160"/>
      <c r="I55" s="39"/>
      <c r="J55" s="160"/>
      <c r="K55" s="160"/>
      <c r="L55" s="162"/>
      <c r="M55" s="162"/>
      <c r="N55" s="11"/>
    </row>
    <row r="56" spans="1:14">
      <c r="A56" s="11"/>
      <c r="B56" s="70"/>
      <c r="C56" s="7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</row>
    <row r="57" spans="1:14">
      <c r="A57" s="11"/>
      <c r="B57" s="36"/>
      <c r="C57" s="36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</row>
    <row r="58" spans="1:14">
      <c r="A58" s="11"/>
      <c r="B58" s="36"/>
      <c r="C58" s="36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</row>
    <row r="59" spans="1:14">
      <c r="A59" s="11"/>
      <c r="B59" s="70"/>
      <c r="C59" s="38"/>
      <c r="D59" s="20"/>
      <c r="E59" s="161"/>
      <c r="F59" s="161"/>
      <c r="G59" s="160"/>
      <c r="H59" s="159"/>
      <c r="I59" s="156"/>
      <c r="J59" s="156"/>
      <c r="K59" s="70"/>
      <c r="L59" s="11"/>
      <c r="M59" s="11"/>
      <c r="N59" s="11"/>
    </row>
    <row r="60" spans="1:14">
      <c r="A60" s="11"/>
      <c r="B60" s="70"/>
      <c r="C60" s="7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</row>
    <row r="61" spans="1:14">
      <c r="A61" s="11"/>
      <c r="B61" s="36"/>
      <c r="C61" s="36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</row>
    <row r="62" spans="1:14">
      <c r="A62" s="11"/>
      <c r="B62" s="70"/>
      <c r="C62" s="70"/>
      <c r="D62" s="11"/>
      <c r="E62" s="11"/>
      <c r="F62" s="70"/>
      <c r="G62" s="70"/>
      <c r="H62" s="11"/>
      <c r="I62" s="11"/>
      <c r="J62" s="70"/>
      <c r="K62" s="11"/>
      <c r="L62" s="11"/>
      <c r="M62" s="11"/>
      <c r="N62" s="11"/>
    </row>
    <row r="63" spans="1:14">
      <c r="A63" s="11"/>
      <c r="B63" s="70"/>
      <c r="C63" s="38"/>
      <c r="D63" s="20"/>
      <c r="E63" s="161"/>
      <c r="F63" s="161"/>
      <c r="G63" s="160"/>
      <c r="H63" s="159"/>
      <c r="I63" s="156"/>
      <c r="J63" s="156"/>
      <c r="K63" s="70"/>
      <c r="L63" s="11"/>
      <c r="M63" s="11"/>
      <c r="N63" s="11"/>
    </row>
    <row r="64" spans="1:14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</row>
    <row r="65" spans="1:14">
      <c r="A65" s="11"/>
      <c r="B65" s="36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</row>
    <row r="66" spans="1:14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</row>
    <row r="67" spans="1:14">
      <c r="A67" s="11"/>
      <c r="B67" s="11"/>
      <c r="C67" s="40"/>
      <c r="D67" s="11"/>
      <c r="E67" s="155"/>
      <c r="F67" s="155"/>
      <c r="G67" s="11"/>
      <c r="H67" s="11"/>
      <c r="I67" s="156"/>
      <c r="J67" s="156"/>
      <c r="K67" s="11"/>
      <c r="L67" s="11"/>
      <c r="M67" s="11"/>
      <c r="N67" s="11"/>
    </row>
    <row r="68" spans="1:14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</row>
    <row r="69" spans="1:14">
      <c r="A69" s="11"/>
      <c r="B69" s="11"/>
      <c r="C69" s="40"/>
      <c r="D69" s="116"/>
      <c r="E69" s="155"/>
      <c r="F69" s="155"/>
      <c r="G69" s="100"/>
      <c r="H69" s="11"/>
      <c r="I69" s="156"/>
      <c r="J69" s="156"/>
      <c r="K69" s="11"/>
      <c r="L69" s="11"/>
      <c r="M69" s="11"/>
      <c r="N69" s="11"/>
    </row>
    <row r="70" spans="1:14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</row>
    <row r="71" spans="1:14">
      <c r="A71" s="11"/>
      <c r="B71" s="36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</row>
    <row r="72" spans="1:14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</row>
    <row r="73" spans="1:14">
      <c r="A73" s="11"/>
      <c r="B73" s="11"/>
      <c r="C73" s="40"/>
      <c r="D73" s="11"/>
      <c r="E73" s="157"/>
      <c r="F73" s="157"/>
      <c r="G73" s="11"/>
      <c r="H73" s="11"/>
      <c r="I73" s="156"/>
      <c r="J73" s="156"/>
      <c r="K73" s="11"/>
      <c r="L73" s="11"/>
      <c r="M73" s="11"/>
      <c r="N73" s="11"/>
    </row>
    <row r="74" spans="1:14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</row>
    <row r="75" spans="1:14">
      <c r="A75" s="11"/>
      <c r="B75" s="36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</row>
    <row r="76" spans="1:14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</row>
    <row r="77" spans="1:14">
      <c r="A77" s="11"/>
      <c r="B77" s="11"/>
      <c r="C77" s="40"/>
      <c r="D77" s="11"/>
      <c r="E77" s="157"/>
      <c r="F77" s="157"/>
      <c r="G77" s="11"/>
      <c r="H77" s="11"/>
      <c r="I77" s="11"/>
      <c r="J77" s="11"/>
      <c r="K77" s="11"/>
      <c r="L77" s="11"/>
      <c r="M77" s="11"/>
      <c r="N77" s="11"/>
    </row>
    <row r="78" spans="1:14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</row>
  </sheetData>
  <sheetProtection password="CD6C" sheet="1" objects="1" scenarios="1"/>
  <mergeCells count="66">
    <mergeCell ref="L49:M49"/>
    <mergeCell ref="G49:H49"/>
    <mergeCell ref="E49:F49"/>
    <mergeCell ref="L38:M38"/>
    <mergeCell ref="E47:F47"/>
    <mergeCell ref="G47:H47"/>
    <mergeCell ref="J47:K47"/>
    <mergeCell ref="L47:M47"/>
    <mergeCell ref="L36:M36"/>
    <mergeCell ref="G36:H36"/>
    <mergeCell ref="E38:F38"/>
    <mergeCell ref="J38:K38"/>
    <mergeCell ref="J36:K36"/>
    <mergeCell ref="D26:E26"/>
    <mergeCell ref="D31:E31"/>
    <mergeCell ref="J25:K25"/>
    <mergeCell ref="J26:K26"/>
    <mergeCell ref="D27:E27"/>
    <mergeCell ref="D29:E29"/>
    <mergeCell ref="J27:K27"/>
    <mergeCell ref="J29:K29"/>
    <mergeCell ref="J30:K30"/>
    <mergeCell ref="D30:E30"/>
    <mergeCell ref="D28:E28"/>
    <mergeCell ref="J28:K28"/>
    <mergeCell ref="D25:E25"/>
    <mergeCell ref="J14:K14"/>
    <mergeCell ref="D15:E15"/>
    <mergeCell ref="J15:K15"/>
    <mergeCell ref="D14:E14"/>
    <mergeCell ref="J4:L4"/>
    <mergeCell ref="J8:K8"/>
    <mergeCell ref="D4:G4"/>
    <mergeCell ref="D8:E8"/>
    <mergeCell ref="H12:J12"/>
    <mergeCell ref="J10:K10"/>
    <mergeCell ref="L53:M53"/>
    <mergeCell ref="E55:F55"/>
    <mergeCell ref="G55:H55"/>
    <mergeCell ref="J55:K55"/>
    <mergeCell ref="L55:M55"/>
    <mergeCell ref="E77:F77"/>
    <mergeCell ref="E69:F69"/>
    <mergeCell ref="I69:J69"/>
    <mergeCell ref="E59:F59"/>
    <mergeCell ref="G59:H59"/>
    <mergeCell ref="I59:J59"/>
    <mergeCell ref="E63:F63"/>
    <mergeCell ref="G63:H63"/>
    <mergeCell ref="I63:J63"/>
    <mergeCell ref="J32:K32"/>
    <mergeCell ref="E67:F67"/>
    <mergeCell ref="I67:J67"/>
    <mergeCell ref="E73:F73"/>
    <mergeCell ref="I73:J73"/>
    <mergeCell ref="G53:H53"/>
    <mergeCell ref="E53:F53"/>
    <mergeCell ref="J53:K53"/>
    <mergeCell ref="E36:F36"/>
    <mergeCell ref="J49:K49"/>
    <mergeCell ref="B23:E23"/>
    <mergeCell ref="F23:G23"/>
    <mergeCell ref="J18:K18"/>
    <mergeCell ref="F21:G21"/>
    <mergeCell ref="F22:G22"/>
    <mergeCell ref="B22:E22"/>
  </mergeCells>
  <pageMargins left="0.35433070866141736" right="0.23622047244094491" top="0.44" bottom="0.47" header="0.31496062992125984" footer="0.31496062992125984"/>
  <pageSetup paperSize="9" scale="68" orientation="portrait" r:id="rId1"/>
  <rowBreaks count="1" manualBreakCount="1">
    <brk id="56" min="1" max="12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92D050"/>
    <pageSetUpPr fitToPage="1"/>
  </sheetPr>
  <dimension ref="B3:T73"/>
  <sheetViews>
    <sheetView topLeftCell="A7" workbookViewId="0">
      <selection activeCell="F22" sqref="F22"/>
    </sheetView>
  </sheetViews>
  <sheetFormatPr defaultRowHeight="15"/>
  <cols>
    <col min="2" max="2" width="6.7109375" customWidth="1"/>
    <col min="3" max="3" width="21" customWidth="1"/>
    <col min="4" max="4" width="10.140625" customWidth="1"/>
    <col min="5" max="5" width="10" customWidth="1"/>
    <col min="8" max="8" width="3.5703125" customWidth="1"/>
    <col min="9" max="9" width="27.140625" customWidth="1"/>
    <col min="10" max="11" width="9.85546875" customWidth="1"/>
    <col min="14" max="14" width="10.7109375" bestFit="1" customWidth="1"/>
  </cols>
  <sheetData>
    <row r="3" spans="2:16" ht="18">
      <c r="B3" s="19" t="s">
        <v>103</v>
      </c>
      <c r="C3" s="9"/>
    </row>
    <row r="4" spans="2:16" ht="18">
      <c r="B4" s="19"/>
      <c r="C4" s="9"/>
    </row>
    <row r="5" spans="2:16">
      <c r="B5" s="16"/>
      <c r="C5" s="16"/>
    </row>
    <row r="6" spans="2:16">
      <c r="B6" s="3" t="s">
        <v>1</v>
      </c>
      <c r="C6" s="3"/>
      <c r="D6" s="170" t="e">
        <f>Input!#REF!</f>
        <v>#REF!</v>
      </c>
      <c r="E6" s="171"/>
      <c r="F6" s="171"/>
      <c r="G6" s="172"/>
      <c r="I6" s="3" t="s">
        <v>2</v>
      </c>
      <c r="J6" s="170">
        <f>Input!D7</f>
        <v>0</v>
      </c>
      <c r="K6" s="171"/>
      <c r="L6" s="172"/>
    </row>
    <row r="7" spans="2:16">
      <c r="B7" s="3"/>
      <c r="C7" s="3"/>
    </row>
    <row r="8" spans="2:16">
      <c r="B8" s="3" t="s">
        <v>69</v>
      </c>
      <c r="C8" s="3"/>
      <c r="D8" s="12">
        <v>2008</v>
      </c>
      <c r="I8" s="3" t="s">
        <v>100</v>
      </c>
      <c r="J8" s="12">
        <v>65</v>
      </c>
    </row>
    <row r="9" spans="2:16">
      <c r="B9" s="3"/>
      <c r="C9" s="3"/>
      <c r="I9" s="3"/>
    </row>
    <row r="10" spans="2:16" hidden="1">
      <c r="B10" s="3" t="s">
        <v>74</v>
      </c>
      <c r="C10" s="3"/>
      <c r="D10" s="173">
        <f>Input!D9</f>
        <v>0</v>
      </c>
      <c r="E10" s="169"/>
      <c r="I10" s="3" t="s">
        <v>75</v>
      </c>
      <c r="J10" s="173">
        <f>DATE(YEAR(D12)+J8,MONTH(D12),DAY(D12))</f>
        <v>23742</v>
      </c>
      <c r="K10" s="185"/>
    </row>
    <row r="11" spans="2:16" hidden="1">
      <c r="B11" s="3"/>
      <c r="C11" s="3"/>
      <c r="I11" s="3"/>
      <c r="N11" s="17"/>
    </row>
    <row r="12" spans="2:16">
      <c r="B12" s="3" t="s">
        <v>5</v>
      </c>
      <c r="C12" s="3"/>
      <c r="D12" s="178">
        <f>Input!D9</f>
        <v>0</v>
      </c>
      <c r="E12" s="179"/>
      <c r="I12" s="3" t="s">
        <v>192</v>
      </c>
      <c r="J12" s="178">
        <f>Input!D10</f>
        <v>0</v>
      </c>
      <c r="K12" s="179"/>
      <c r="P12" s="17"/>
    </row>
    <row r="13" spans="2:16">
      <c r="B13" s="3"/>
      <c r="C13" s="3"/>
      <c r="F13" s="11"/>
      <c r="I13" s="3"/>
      <c r="N13" s="17"/>
    </row>
    <row r="14" spans="2:16">
      <c r="B14" s="3" t="s">
        <v>202</v>
      </c>
      <c r="C14" s="3"/>
      <c r="D14" s="3" t="s">
        <v>8</v>
      </c>
      <c r="E14" s="68">
        <f>DATEDIF(D12,J12,"Y")</f>
        <v>0</v>
      </c>
      <c r="F14" s="3" t="s">
        <v>9</v>
      </c>
      <c r="G14" s="68">
        <f>DATEDIF(D12,J12,"M")-(E14*12)</f>
        <v>0</v>
      </c>
    </row>
    <row r="15" spans="2:16">
      <c r="B15" s="3"/>
      <c r="C15" s="3"/>
      <c r="D15" s="3"/>
      <c r="E15" s="43"/>
      <c r="F15" s="3"/>
      <c r="G15" s="43"/>
    </row>
    <row r="16" spans="2:16">
      <c r="B16" s="3" t="s">
        <v>10</v>
      </c>
      <c r="C16" s="3"/>
      <c r="D16" s="3" t="s">
        <v>11</v>
      </c>
      <c r="E16" s="69">
        <f>INT(((J8*12)-((E14*12)+G14))/12)</f>
        <v>65</v>
      </c>
      <c r="F16" s="3" t="s">
        <v>9</v>
      </c>
      <c r="G16" s="69">
        <f>J8*12-((E14*12)+G14)-(E16*12)</f>
        <v>0</v>
      </c>
      <c r="H16" s="3" t="s">
        <v>13</v>
      </c>
    </row>
    <row r="17" spans="2:12">
      <c r="B17" s="3"/>
      <c r="C17" s="3"/>
    </row>
    <row r="18" spans="2:12">
      <c r="B18" s="3" t="s">
        <v>136</v>
      </c>
      <c r="C18" s="3"/>
      <c r="D18" s="168" t="e">
        <f>INDEX('VER Factors'!$D$45:$O$59, MATCH((E14),'VER Factors'!C45:C59,0), MATCH(($G$14),'VER Factors'!D44:O44,0))</f>
        <v>#N/A</v>
      </c>
      <c r="E18" s="169"/>
      <c r="I18" s="3"/>
      <c r="J18" s="186"/>
      <c r="K18" s="186"/>
    </row>
    <row r="19" spans="2:12">
      <c r="B19" s="3" t="s">
        <v>163</v>
      </c>
      <c r="C19" s="3"/>
      <c r="D19" s="168" t="e">
        <f>INDEX('VER Factors'!$D$156:$O$200, MATCH((E14),'VER Factors'!C156:C200,0), MATCH(($G$14),'VER Factors'!D155:O155,0))</f>
        <v>#N/A</v>
      </c>
      <c r="E19" s="169"/>
      <c r="I19" s="3"/>
    </row>
    <row r="20" spans="2:12" s="54" customFormat="1">
      <c r="B20" s="3"/>
      <c r="C20" s="3"/>
      <c r="D20" s="100"/>
      <c r="E20" s="100"/>
      <c r="I20" s="3"/>
    </row>
    <row r="21" spans="2:12" s="54" customFormat="1">
      <c r="B21" s="3" t="s">
        <v>185</v>
      </c>
      <c r="C21" s="3"/>
      <c r="D21" s="3"/>
      <c r="E21" s="3"/>
      <c r="F21" s="12">
        <f>IF(Input!D7="Yes",DATEDIF(J21,J12,"d"),0)-1</f>
        <v>-1</v>
      </c>
      <c r="G21" s="54" t="s">
        <v>154</v>
      </c>
      <c r="I21" s="54" t="s">
        <v>186</v>
      </c>
      <c r="J21" s="150">
        <f>Input!D11</f>
        <v>0</v>
      </c>
      <c r="K21" s="151"/>
    </row>
    <row r="22" spans="2:12" s="54" customFormat="1">
      <c r="B22" s="3" t="s">
        <v>190</v>
      </c>
      <c r="C22" s="3"/>
      <c r="D22" s="3"/>
      <c r="E22" s="3"/>
      <c r="F22" s="12" t="e">
        <f>ROUNDUP(Input!F12/Input!F14*F21,0)</f>
        <v>#DIV/0!</v>
      </c>
      <c r="G22" s="54" t="s">
        <v>154</v>
      </c>
      <c r="J22" s="102"/>
      <c r="K22" s="103"/>
    </row>
    <row r="23" spans="2:12" s="54" customFormat="1">
      <c r="B23" s="3"/>
      <c r="C23" s="3"/>
      <c r="D23" s="3"/>
      <c r="E23" s="3"/>
      <c r="J23" s="102"/>
      <c r="K23" s="103"/>
    </row>
    <row r="24" spans="2:12" s="54" customFormat="1">
      <c r="B24" s="3" t="s">
        <v>187</v>
      </c>
      <c r="C24" s="3"/>
      <c r="D24" s="3"/>
      <c r="E24" s="3"/>
      <c r="F24" s="149" t="e">
        <f>ROUND(IF(F21&lt;&gt;F22,F22,F21)*Input!D16/21900,2)</f>
        <v>#DIV/0!</v>
      </c>
      <c r="G24" s="149"/>
      <c r="J24" s="4"/>
    </row>
    <row r="25" spans="2:12">
      <c r="B25" s="147" t="s">
        <v>189</v>
      </c>
      <c r="C25" s="147"/>
      <c r="D25" s="147"/>
      <c r="E25" s="148"/>
      <c r="F25" s="149" t="e">
        <f>ROUND(F24*0.375,2)</f>
        <v>#DIV/0!</v>
      </c>
      <c r="G25" s="149"/>
      <c r="H25" s="54"/>
      <c r="I25" s="54"/>
      <c r="J25" s="4"/>
      <c r="K25" s="54"/>
    </row>
    <row r="26" spans="2:12" s="54" customFormat="1">
      <c r="B26" s="101"/>
      <c r="C26" s="101"/>
      <c r="D26" s="101"/>
      <c r="E26" s="104"/>
      <c r="F26" s="117"/>
      <c r="G26" s="117"/>
      <c r="J26" s="4"/>
    </row>
    <row r="27" spans="2:12">
      <c r="B27" s="14" t="s">
        <v>70</v>
      </c>
      <c r="C27" s="13"/>
      <c r="D27" s="153" t="e">
        <f>Input!D17+F24</f>
        <v>#DIV/0!</v>
      </c>
      <c r="E27" s="154"/>
      <c r="F27" s="15"/>
      <c r="I27" s="14" t="s">
        <v>72</v>
      </c>
      <c r="J27" s="153" t="e">
        <f>D27*D18</f>
        <v>#DIV/0!</v>
      </c>
      <c r="K27" s="154"/>
      <c r="L27" s="3"/>
    </row>
    <row r="28" spans="2:12">
      <c r="B28" s="14" t="s">
        <v>109</v>
      </c>
      <c r="C28" s="13"/>
      <c r="D28" s="153" t="e">
        <f>12*ROUNDDOWN((ROUND(D27*(30/7),2)/12),0)</f>
        <v>#DIV/0!</v>
      </c>
      <c r="E28" s="154"/>
      <c r="F28" s="15"/>
      <c r="I28" s="14" t="s">
        <v>111</v>
      </c>
      <c r="J28" s="153" t="e">
        <f>12*ROUNDDOWN((ROUND(J27*(30/7),2)/12),0)</f>
        <v>#DIV/0!</v>
      </c>
      <c r="K28" s="154"/>
      <c r="L28" s="3"/>
    </row>
    <row r="29" spans="2:12">
      <c r="B29" s="14" t="s">
        <v>110</v>
      </c>
      <c r="C29" s="13"/>
      <c r="D29" s="153" t="e">
        <f>D27-(D28/12)</f>
        <v>#DIV/0!</v>
      </c>
      <c r="E29" s="154"/>
      <c r="F29" s="15"/>
      <c r="I29" s="14" t="s">
        <v>110</v>
      </c>
      <c r="J29" s="153" t="e">
        <f>J27-(J28/12)</f>
        <v>#DIV/0!</v>
      </c>
      <c r="K29" s="154"/>
      <c r="L29" s="3"/>
    </row>
    <row r="30" spans="2:12">
      <c r="B30" s="14" t="s">
        <v>112</v>
      </c>
      <c r="D30" s="153" t="e">
        <f>Input!D19+F25</f>
        <v>#DIV/0!</v>
      </c>
      <c r="E30" s="154"/>
      <c r="I30" s="14" t="s">
        <v>112</v>
      </c>
      <c r="J30" s="153" t="e">
        <f>D30</f>
        <v>#DIV/0!</v>
      </c>
      <c r="K30" s="154"/>
    </row>
    <row r="31" spans="2:12">
      <c r="B31" s="14"/>
      <c r="C31" s="13"/>
      <c r="D31" s="35"/>
      <c r="E31" s="35"/>
      <c r="F31" s="3"/>
      <c r="I31" s="14"/>
      <c r="J31" s="35"/>
      <c r="K31" s="35"/>
    </row>
    <row r="32" spans="2:12">
      <c r="B32" s="107"/>
      <c r="C32" s="130"/>
      <c r="D32" s="181"/>
      <c r="E32" s="181"/>
      <c r="F32" s="70"/>
      <c r="I32" s="14" t="s">
        <v>165</v>
      </c>
      <c r="J32" s="153" t="e">
        <f>D27-ROUND(D27*D19,2)</f>
        <v>#DIV/0!</v>
      </c>
      <c r="K32" s="154"/>
      <c r="L32" s="3"/>
    </row>
    <row r="33" spans="2:20">
      <c r="B33" s="3"/>
      <c r="C33" s="3"/>
    </row>
    <row r="34" spans="2:20">
      <c r="B34" s="5"/>
      <c r="C34" s="5"/>
    </row>
    <row r="35" spans="2:20">
      <c r="B35" s="3"/>
      <c r="C35" s="3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</row>
    <row r="36" spans="2:20">
      <c r="B36" s="6"/>
      <c r="C36" s="6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</row>
    <row r="37" spans="2:20">
      <c r="B37" s="6"/>
      <c r="C37" s="6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</row>
    <row r="38" spans="2:20">
      <c r="B38" s="3"/>
      <c r="C38" s="3"/>
      <c r="D38" s="109"/>
      <c r="E38" s="157"/>
      <c r="F38" s="167"/>
      <c r="G38" s="160"/>
      <c r="H38" s="160"/>
      <c r="I38" s="39"/>
      <c r="J38" s="160"/>
      <c r="K38" s="160"/>
      <c r="L38" s="157"/>
      <c r="M38" s="167"/>
      <c r="N38" s="110"/>
      <c r="O38" s="110"/>
      <c r="P38" s="110"/>
      <c r="Q38" s="110"/>
      <c r="R38" s="110"/>
      <c r="S38" s="110"/>
      <c r="T38" s="110"/>
    </row>
    <row r="39" spans="2:20">
      <c r="B39" s="3"/>
      <c r="C39" s="3"/>
      <c r="D39" s="70"/>
      <c r="E39" s="105"/>
      <c r="F39" s="106"/>
      <c r="G39" s="70"/>
      <c r="H39" s="110"/>
      <c r="I39" s="7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</row>
    <row r="40" spans="2:20">
      <c r="B40" s="3"/>
      <c r="C40" s="3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</row>
    <row r="41" spans="2:20">
      <c r="B41" s="6"/>
      <c r="C41" s="6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</row>
    <row r="42" spans="2:20">
      <c r="B42" s="6"/>
      <c r="C42" s="6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</row>
    <row r="43" spans="2:20">
      <c r="B43" s="3"/>
      <c r="C43" s="6"/>
      <c r="D43" s="110"/>
      <c r="E43" s="110"/>
      <c r="F43" s="110"/>
      <c r="G43" s="36"/>
      <c r="H43" s="110"/>
      <c r="I43" s="112"/>
      <c r="J43" s="113"/>
      <c r="K43" s="110"/>
      <c r="L43" s="110"/>
      <c r="M43" s="110"/>
      <c r="N43" s="110"/>
      <c r="O43" s="110"/>
      <c r="P43" s="110"/>
      <c r="Q43" s="110"/>
      <c r="R43" s="110"/>
      <c r="S43" s="110"/>
      <c r="T43" s="110"/>
    </row>
    <row r="44" spans="2:20">
      <c r="B44" s="3"/>
      <c r="C44" s="6"/>
      <c r="D44" s="110"/>
      <c r="E44" s="110"/>
      <c r="F44" s="110"/>
      <c r="G44" s="113"/>
      <c r="H44" s="113"/>
      <c r="I44" s="113"/>
      <c r="J44" s="113"/>
      <c r="K44" s="110"/>
      <c r="L44" s="110"/>
      <c r="M44" s="110"/>
      <c r="N44" s="110"/>
      <c r="O44" s="110"/>
      <c r="P44" s="110"/>
      <c r="Q44" s="110"/>
      <c r="R44" s="110"/>
      <c r="S44" s="110"/>
      <c r="T44" s="110"/>
    </row>
    <row r="45" spans="2:20">
      <c r="B45" s="3"/>
      <c r="C45" s="6"/>
      <c r="D45" s="110"/>
      <c r="E45" s="110"/>
      <c r="F45" s="110"/>
      <c r="G45" s="113"/>
      <c r="H45" s="113"/>
      <c r="I45" s="113"/>
      <c r="J45" s="113"/>
      <c r="K45" s="110"/>
      <c r="L45" s="110"/>
      <c r="M45" s="110"/>
      <c r="N45" s="110"/>
      <c r="O45" s="110"/>
      <c r="P45" s="110"/>
      <c r="Q45" s="110"/>
      <c r="R45" s="110"/>
      <c r="S45" s="110"/>
      <c r="T45" s="110"/>
    </row>
    <row r="46" spans="2:20">
      <c r="B46" s="5"/>
      <c r="C46" s="5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</row>
    <row r="47" spans="2:20">
      <c r="B47" s="6"/>
      <c r="C47" s="6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</row>
    <row r="48" spans="2:20">
      <c r="B48" s="7"/>
      <c r="C48" s="7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</row>
    <row r="49" spans="2:20">
      <c r="B49" s="3"/>
      <c r="C49" s="3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</row>
    <row r="50" spans="2:20">
      <c r="B50" s="3"/>
      <c r="C50" s="3"/>
      <c r="D50" s="109"/>
      <c r="E50" s="157"/>
      <c r="F50" s="167"/>
      <c r="G50" s="158"/>
      <c r="H50" s="160"/>
      <c r="I50" s="39"/>
      <c r="J50" s="160"/>
      <c r="K50" s="160"/>
      <c r="L50" s="157"/>
      <c r="M50" s="167"/>
      <c r="N50" s="110"/>
      <c r="O50" s="110"/>
      <c r="P50" s="110"/>
      <c r="Q50" s="110"/>
      <c r="R50" s="110"/>
      <c r="S50" s="110"/>
      <c r="T50" s="110"/>
    </row>
    <row r="51" spans="2:20">
      <c r="B51" s="3"/>
      <c r="C51" s="3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</row>
    <row r="52" spans="2:20">
      <c r="B52" s="3"/>
      <c r="C52" s="127"/>
      <c r="D52" s="115"/>
      <c r="E52" s="157"/>
      <c r="F52" s="167"/>
      <c r="G52" s="160"/>
      <c r="H52" s="160"/>
      <c r="I52" s="39"/>
      <c r="J52" s="160"/>
      <c r="K52" s="160"/>
      <c r="L52" s="162"/>
      <c r="M52" s="162"/>
      <c r="N52" s="110"/>
      <c r="O52" s="110"/>
      <c r="P52" s="110"/>
      <c r="Q52" s="110"/>
      <c r="R52" s="110"/>
      <c r="S52" s="110"/>
      <c r="T52" s="110"/>
    </row>
    <row r="53" spans="2:20">
      <c r="B53" s="3"/>
      <c r="C53" s="3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</row>
    <row r="54" spans="2:20">
      <c r="B54" s="3"/>
      <c r="C54" s="3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</row>
    <row r="55" spans="2:20">
      <c r="B55" s="3"/>
      <c r="C55" s="3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</row>
    <row r="56" spans="2:20">
      <c r="B56" s="6"/>
      <c r="C56" s="6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</row>
    <row r="57" spans="2:20">
      <c r="B57" s="6"/>
      <c r="C57" s="6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</row>
    <row r="58" spans="2:20">
      <c r="B58" s="3"/>
      <c r="C58" s="127"/>
      <c r="D58" s="20"/>
      <c r="E58" s="161"/>
      <c r="F58" s="161"/>
      <c r="G58" s="160"/>
      <c r="H58" s="160"/>
      <c r="I58" s="129"/>
      <c r="J58" s="36"/>
      <c r="K58" s="70"/>
      <c r="L58" s="110"/>
      <c r="M58" s="110"/>
      <c r="N58" s="110"/>
      <c r="O58" s="110"/>
      <c r="P58" s="110"/>
      <c r="Q58" s="110"/>
      <c r="R58" s="110"/>
      <c r="S58" s="110"/>
      <c r="T58" s="110"/>
    </row>
    <row r="59" spans="2:20">
      <c r="B59" s="3"/>
      <c r="C59" s="3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</row>
    <row r="60" spans="2:20"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</row>
    <row r="61" spans="2:20">
      <c r="B61" s="6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</row>
    <row r="62" spans="2:20"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</row>
    <row r="63" spans="2:20">
      <c r="C63" s="127"/>
      <c r="D63" s="110"/>
      <c r="E63" s="110"/>
      <c r="F63" s="110"/>
      <c r="G63" s="106"/>
      <c r="H63" s="110"/>
      <c r="I63" s="129"/>
      <c r="J63" s="36"/>
      <c r="K63" s="110"/>
      <c r="L63" s="110"/>
      <c r="M63" s="110"/>
      <c r="N63" s="110"/>
      <c r="O63" s="110"/>
      <c r="P63" s="110"/>
      <c r="Q63" s="110"/>
      <c r="R63" s="110"/>
      <c r="S63" s="110"/>
      <c r="T63" s="110"/>
    </row>
    <row r="64" spans="2:20"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</row>
    <row r="65" spans="2:20"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</row>
    <row r="66" spans="2:20">
      <c r="B66" s="6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</row>
    <row r="67" spans="2:20"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</row>
    <row r="68" spans="2:20">
      <c r="C68" s="128"/>
      <c r="D68" s="110"/>
      <c r="E68" s="157"/>
      <c r="F68" s="167"/>
      <c r="G68" s="110"/>
      <c r="H68" s="110"/>
      <c r="I68" s="129"/>
      <c r="J68" s="36"/>
      <c r="K68" s="110"/>
      <c r="L68" s="110"/>
      <c r="M68" s="110"/>
      <c r="N68" s="110"/>
      <c r="O68" s="110"/>
      <c r="P68" s="110"/>
      <c r="Q68" s="110"/>
      <c r="R68" s="110"/>
      <c r="S68" s="110"/>
      <c r="T68" s="110"/>
    </row>
    <row r="69" spans="2:20"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</row>
    <row r="71" spans="2:20">
      <c r="B71" s="6"/>
    </row>
    <row r="73" spans="2:20">
      <c r="C73" s="34"/>
      <c r="E73" s="157"/>
      <c r="F73" s="167"/>
    </row>
  </sheetData>
  <sheetProtection password="CD6C" sheet="1" objects="1" scenarios="1"/>
  <mergeCells count="39">
    <mergeCell ref="F25:G25"/>
    <mergeCell ref="D18:E18"/>
    <mergeCell ref="J18:K18"/>
    <mergeCell ref="D27:E27"/>
    <mergeCell ref="J27:K27"/>
    <mergeCell ref="D19:E19"/>
    <mergeCell ref="J21:K21"/>
    <mergeCell ref="F24:G24"/>
    <mergeCell ref="B25:E25"/>
    <mergeCell ref="D6:G6"/>
    <mergeCell ref="J6:L6"/>
    <mergeCell ref="D10:E10"/>
    <mergeCell ref="J10:K10"/>
    <mergeCell ref="D12:E12"/>
    <mergeCell ref="J12:K12"/>
    <mergeCell ref="L52:M52"/>
    <mergeCell ref="L38:M38"/>
    <mergeCell ref="E50:F50"/>
    <mergeCell ref="G50:H50"/>
    <mergeCell ref="J50:K50"/>
    <mergeCell ref="L50:M50"/>
    <mergeCell ref="E38:F38"/>
    <mergeCell ref="G38:H38"/>
    <mergeCell ref="J38:K38"/>
    <mergeCell ref="E68:F68"/>
    <mergeCell ref="E73:F73"/>
    <mergeCell ref="D28:E28"/>
    <mergeCell ref="D29:E29"/>
    <mergeCell ref="J28:K28"/>
    <mergeCell ref="J29:K29"/>
    <mergeCell ref="E58:F58"/>
    <mergeCell ref="G58:H58"/>
    <mergeCell ref="E52:F52"/>
    <mergeCell ref="G52:H52"/>
    <mergeCell ref="J52:K52"/>
    <mergeCell ref="D32:E32"/>
    <mergeCell ref="J30:K30"/>
    <mergeCell ref="D30:E30"/>
    <mergeCell ref="J32:K32"/>
  </mergeCells>
  <pageMargins left="0.28999999999999998" right="0.38" top="0.53" bottom="0.74803149606299213" header="0.31496062992125984" footer="0.31496062992125984"/>
  <pageSetup paperSize="9" scale="7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>
    <tabColor theme="1"/>
  </sheetPr>
  <dimension ref="B2:AA292"/>
  <sheetViews>
    <sheetView topLeftCell="A25" zoomScaleNormal="100" workbookViewId="0">
      <selection activeCell="K275" sqref="K275"/>
    </sheetView>
  </sheetViews>
  <sheetFormatPr defaultRowHeight="15"/>
  <cols>
    <col min="2" max="2" width="3.7109375" bestFit="1" customWidth="1"/>
    <col min="7" max="7" width="9.5703125" bestFit="1" customWidth="1"/>
  </cols>
  <sheetData>
    <row r="2" spans="2:15">
      <c r="B2" s="196" t="s">
        <v>95</v>
      </c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8"/>
    </row>
    <row r="4" spans="2:15" ht="33.75" customHeight="1">
      <c r="B4" s="199" t="s">
        <v>96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2:15">
      <c r="B5" s="27" t="s">
        <v>97</v>
      </c>
      <c r="C5" s="28"/>
      <c r="D5" s="203" t="s">
        <v>92</v>
      </c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</row>
    <row r="6" spans="2:15">
      <c r="B6" s="24"/>
      <c r="C6" s="25"/>
      <c r="D6" s="205" t="s">
        <v>76</v>
      </c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</row>
    <row r="7" spans="2:15">
      <c r="B7" s="26"/>
      <c r="C7" s="23"/>
      <c r="D7" s="21">
        <v>0</v>
      </c>
      <c r="E7" s="21">
        <v>1</v>
      </c>
      <c r="F7" s="21">
        <v>2</v>
      </c>
      <c r="G7" s="21">
        <v>3</v>
      </c>
      <c r="H7" s="21">
        <v>4</v>
      </c>
      <c r="I7" s="21">
        <v>5</v>
      </c>
      <c r="J7" s="21">
        <v>6</v>
      </c>
      <c r="K7" s="21">
        <v>7</v>
      </c>
      <c r="L7" s="21">
        <v>8</v>
      </c>
      <c r="M7" s="21">
        <v>9</v>
      </c>
      <c r="N7" s="21">
        <v>10</v>
      </c>
      <c r="O7" s="21">
        <v>11</v>
      </c>
    </row>
    <row r="8" spans="2:15">
      <c r="B8" s="206" t="s">
        <v>77</v>
      </c>
      <c r="C8" s="21">
        <v>50</v>
      </c>
      <c r="D8" s="22">
        <v>0.63900000000000001</v>
      </c>
      <c r="E8" s="22">
        <v>0.64100000000000001</v>
      </c>
      <c r="F8" s="22">
        <v>0.64300000000000002</v>
      </c>
      <c r="G8" s="22">
        <v>0.64500000000000002</v>
      </c>
      <c r="H8" s="22">
        <v>0.64700000000000002</v>
      </c>
      <c r="I8" s="22">
        <v>0.65</v>
      </c>
      <c r="J8" s="22">
        <v>0.65200000000000002</v>
      </c>
      <c r="K8" s="22">
        <v>0.65400000000000003</v>
      </c>
      <c r="L8" s="22">
        <v>0.65600000000000003</v>
      </c>
      <c r="M8" s="22">
        <v>0.65800000000000003</v>
      </c>
      <c r="N8" s="22">
        <v>0.66</v>
      </c>
      <c r="O8" s="22">
        <v>0.66200000000000003</v>
      </c>
    </row>
    <row r="9" spans="2:15">
      <c r="B9" s="206"/>
      <c r="C9" s="21">
        <v>51</v>
      </c>
      <c r="D9" s="22">
        <v>0.66500000000000004</v>
      </c>
      <c r="E9" s="22">
        <v>0.66700000000000004</v>
      </c>
      <c r="F9" s="22">
        <v>0.66900000000000004</v>
      </c>
      <c r="G9" s="22">
        <v>0.67200000000000004</v>
      </c>
      <c r="H9" s="22">
        <v>0.67400000000000004</v>
      </c>
      <c r="I9" s="22">
        <v>0.67600000000000005</v>
      </c>
      <c r="J9" s="22">
        <v>0.67800000000000005</v>
      </c>
      <c r="K9" s="22">
        <v>0.68100000000000005</v>
      </c>
      <c r="L9" s="22">
        <v>0.68300000000000005</v>
      </c>
      <c r="M9" s="22">
        <v>0.68500000000000005</v>
      </c>
      <c r="N9" s="22">
        <v>0.68799999999999994</v>
      </c>
      <c r="O9" s="22">
        <v>0.69</v>
      </c>
    </row>
    <row r="10" spans="2:15">
      <c r="B10" s="206"/>
      <c r="C10" s="21">
        <v>52</v>
      </c>
      <c r="D10" s="22">
        <v>0.69199999999999995</v>
      </c>
      <c r="E10" s="22">
        <v>0.69499999999999995</v>
      </c>
      <c r="F10" s="22">
        <v>0.69699999999999995</v>
      </c>
      <c r="G10" s="22">
        <v>0.7</v>
      </c>
      <c r="H10" s="22">
        <v>0.70199999999999996</v>
      </c>
      <c r="I10" s="22">
        <v>0.70499999999999996</v>
      </c>
      <c r="J10" s="22">
        <v>0.70699999999999996</v>
      </c>
      <c r="K10" s="22">
        <v>0.71</v>
      </c>
      <c r="L10" s="22">
        <v>0.71199999999999997</v>
      </c>
      <c r="M10" s="22">
        <v>0.71499999999999997</v>
      </c>
      <c r="N10" s="22">
        <v>0.71699999999999997</v>
      </c>
      <c r="O10" s="22">
        <v>0.72</v>
      </c>
    </row>
    <row r="11" spans="2:15">
      <c r="B11" s="206"/>
      <c r="C11" s="21">
        <v>53</v>
      </c>
      <c r="D11" s="22">
        <v>0.72199999999999998</v>
      </c>
      <c r="E11" s="22">
        <v>0.72499999999999998</v>
      </c>
      <c r="F11" s="22">
        <v>0.72799999999999998</v>
      </c>
      <c r="G11" s="22">
        <v>0.73</v>
      </c>
      <c r="H11" s="22">
        <v>0.73299999999999998</v>
      </c>
      <c r="I11" s="22">
        <v>0.73599999999999999</v>
      </c>
      <c r="J11" s="22">
        <v>0.73799999999999999</v>
      </c>
      <c r="K11" s="22">
        <v>0.74099999999999999</v>
      </c>
      <c r="L11" s="22">
        <v>0.74399999999999999</v>
      </c>
      <c r="M11" s="22">
        <v>0.746</v>
      </c>
      <c r="N11" s="22">
        <v>0.749</v>
      </c>
      <c r="O11" s="22">
        <v>0.752</v>
      </c>
    </row>
    <row r="12" spans="2:15">
      <c r="B12" s="206"/>
      <c r="C12" s="21">
        <v>54</v>
      </c>
      <c r="D12" s="22">
        <v>0.754</v>
      </c>
      <c r="E12" s="22">
        <v>0.75700000000000001</v>
      </c>
      <c r="F12" s="22">
        <v>0.76</v>
      </c>
      <c r="G12" s="22">
        <v>0.76300000000000001</v>
      </c>
      <c r="H12" s="22">
        <v>0.76600000000000001</v>
      </c>
      <c r="I12" s="22">
        <v>0.76900000000000002</v>
      </c>
      <c r="J12" s="22">
        <v>0.77200000000000002</v>
      </c>
      <c r="K12" s="22">
        <v>0.77500000000000002</v>
      </c>
      <c r="L12" s="22">
        <v>0.77800000000000002</v>
      </c>
      <c r="M12" s="22">
        <v>0.78100000000000003</v>
      </c>
      <c r="N12" s="22">
        <v>0.78400000000000003</v>
      </c>
      <c r="O12" s="22">
        <v>0.78700000000000003</v>
      </c>
    </row>
    <row r="13" spans="2:15">
      <c r="B13" s="206"/>
      <c r="C13" s="21">
        <v>55</v>
      </c>
      <c r="D13" s="22">
        <v>0.79</v>
      </c>
      <c r="E13" s="22">
        <v>0.79300000000000004</v>
      </c>
      <c r="F13" s="22">
        <v>0.79600000000000004</v>
      </c>
      <c r="G13" s="22">
        <v>0.79900000000000004</v>
      </c>
      <c r="H13" s="22">
        <v>0.80200000000000005</v>
      </c>
      <c r="I13" s="22">
        <v>0.80500000000000005</v>
      </c>
      <c r="J13" s="22">
        <v>0.80800000000000005</v>
      </c>
      <c r="K13" s="22">
        <v>0.81100000000000005</v>
      </c>
      <c r="L13" s="22">
        <v>0.81399999999999995</v>
      </c>
      <c r="M13" s="22">
        <v>0.81799999999999995</v>
      </c>
      <c r="N13" s="22">
        <v>0.82099999999999995</v>
      </c>
      <c r="O13" s="22">
        <v>0.82399999999999995</v>
      </c>
    </row>
    <row r="14" spans="2:15">
      <c r="B14" s="206"/>
      <c r="C14" s="21">
        <v>56</v>
      </c>
      <c r="D14" s="22">
        <v>0.82699999999999996</v>
      </c>
      <c r="E14" s="22">
        <v>0.83</v>
      </c>
      <c r="F14" s="22">
        <v>0.83399999999999996</v>
      </c>
      <c r="G14" s="22">
        <v>0.83699999999999997</v>
      </c>
      <c r="H14" s="22">
        <v>0.84</v>
      </c>
      <c r="I14" s="22">
        <v>0.84299999999999997</v>
      </c>
      <c r="J14" s="22">
        <v>0.84699999999999998</v>
      </c>
      <c r="K14" s="22">
        <v>0.85</v>
      </c>
      <c r="L14" s="22">
        <v>0.85299999999999998</v>
      </c>
      <c r="M14" s="22">
        <v>0.85699999999999998</v>
      </c>
      <c r="N14" s="22">
        <v>0.86</v>
      </c>
      <c r="O14" s="22">
        <v>0.86299999999999999</v>
      </c>
    </row>
    <row r="15" spans="2:15">
      <c r="B15" s="206"/>
      <c r="C15" s="21">
        <v>57</v>
      </c>
      <c r="D15" s="22">
        <v>0.86699999999999999</v>
      </c>
      <c r="E15" s="22">
        <v>0.87</v>
      </c>
      <c r="F15" s="22">
        <v>0.874</v>
      </c>
      <c r="G15" s="22">
        <v>0.877</v>
      </c>
      <c r="H15" s="22">
        <v>0.88100000000000001</v>
      </c>
      <c r="I15" s="22">
        <v>0.88400000000000001</v>
      </c>
      <c r="J15" s="22">
        <v>0.88800000000000001</v>
      </c>
      <c r="K15" s="22">
        <v>0.89100000000000001</v>
      </c>
      <c r="L15" s="22">
        <v>0.89500000000000002</v>
      </c>
      <c r="M15" s="22">
        <v>0.89800000000000002</v>
      </c>
      <c r="N15" s="22">
        <v>0.90200000000000002</v>
      </c>
      <c r="O15" s="22">
        <v>0.90500000000000003</v>
      </c>
    </row>
    <row r="16" spans="2:15">
      <c r="B16" s="206"/>
      <c r="C16" s="21">
        <v>58</v>
      </c>
      <c r="D16" s="22">
        <v>0.90900000000000003</v>
      </c>
      <c r="E16" s="22">
        <v>0.91300000000000003</v>
      </c>
      <c r="F16" s="22">
        <v>0.91600000000000004</v>
      </c>
      <c r="G16" s="22">
        <v>0.92</v>
      </c>
      <c r="H16" s="22">
        <v>0.92400000000000004</v>
      </c>
      <c r="I16" s="22">
        <v>0.92800000000000005</v>
      </c>
      <c r="J16" s="22">
        <v>0.93100000000000005</v>
      </c>
      <c r="K16" s="22">
        <v>0.93500000000000005</v>
      </c>
      <c r="L16" s="22">
        <v>0.93899999999999995</v>
      </c>
      <c r="M16" s="22">
        <v>0.94299999999999995</v>
      </c>
      <c r="N16" s="22">
        <v>0.94599999999999995</v>
      </c>
      <c r="O16" s="22">
        <v>0.95</v>
      </c>
    </row>
    <row r="17" spans="2:15">
      <c r="B17" s="206"/>
      <c r="C17" s="21">
        <v>59</v>
      </c>
      <c r="D17" s="22">
        <v>0.95399999999999996</v>
      </c>
      <c r="E17" s="22">
        <v>0.95799999999999996</v>
      </c>
      <c r="F17" s="22">
        <v>0.96199999999999997</v>
      </c>
      <c r="G17" s="22">
        <v>0.96599999999999997</v>
      </c>
      <c r="H17" s="22">
        <v>0.97</v>
      </c>
      <c r="I17" s="22">
        <v>0.97399999999999998</v>
      </c>
      <c r="J17" s="22">
        <v>0.97799999999999998</v>
      </c>
      <c r="K17" s="22">
        <v>0.98199999999999998</v>
      </c>
      <c r="L17" s="22">
        <v>0.98599999999999999</v>
      </c>
      <c r="M17" s="22">
        <v>0.99</v>
      </c>
      <c r="N17" s="22">
        <v>0.99399999999999999</v>
      </c>
      <c r="O17" s="22">
        <v>0.998</v>
      </c>
    </row>
    <row r="24" spans="2:15" ht="33.75" customHeight="1">
      <c r="B24" s="199" t="s">
        <v>96</v>
      </c>
      <c r="C24" s="200"/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1"/>
    </row>
    <row r="25" spans="2:15">
      <c r="B25" s="27" t="s">
        <v>98</v>
      </c>
      <c r="C25" s="28"/>
      <c r="D25" s="202" t="s">
        <v>91</v>
      </c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</row>
    <row r="26" spans="2:15">
      <c r="B26" s="24"/>
      <c r="C26" s="25"/>
      <c r="D26" s="205" t="s">
        <v>76</v>
      </c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</row>
    <row r="27" spans="2:15">
      <c r="B27" s="26"/>
      <c r="C27" s="23"/>
      <c r="D27" s="21">
        <v>0</v>
      </c>
      <c r="E27" s="21">
        <v>1</v>
      </c>
      <c r="F27" s="21">
        <v>2</v>
      </c>
      <c r="G27" s="21">
        <v>3</v>
      </c>
      <c r="H27" s="21">
        <v>4</v>
      </c>
      <c r="I27" s="21">
        <v>5</v>
      </c>
      <c r="J27" s="21">
        <v>6</v>
      </c>
      <c r="K27" s="21">
        <v>7</v>
      </c>
      <c r="L27" s="21">
        <v>8</v>
      </c>
      <c r="M27" s="21">
        <v>9</v>
      </c>
      <c r="N27" s="21">
        <v>10</v>
      </c>
      <c r="O27" s="21">
        <v>11</v>
      </c>
    </row>
    <row r="28" spans="2:15">
      <c r="B28" s="206" t="s">
        <v>73</v>
      </c>
      <c r="C28" s="21">
        <v>50</v>
      </c>
      <c r="D28" s="22">
        <v>0.73399999999999999</v>
      </c>
      <c r="E28" s="22">
        <v>0.73599999999999999</v>
      </c>
      <c r="F28" s="22">
        <v>0.73799999999999999</v>
      </c>
      <c r="G28" s="22">
        <v>0.74</v>
      </c>
      <c r="H28" s="22">
        <v>0.74199999999999999</v>
      </c>
      <c r="I28" s="22">
        <v>0.74399999999999999</v>
      </c>
      <c r="J28" s="22">
        <v>0.745</v>
      </c>
      <c r="K28" s="22">
        <v>0.747</v>
      </c>
      <c r="L28" s="22">
        <v>0.749</v>
      </c>
      <c r="M28" s="22">
        <v>0.751</v>
      </c>
      <c r="N28" s="22">
        <v>0.753</v>
      </c>
      <c r="O28" s="22">
        <v>0.755</v>
      </c>
    </row>
    <row r="29" spans="2:15">
      <c r="B29" s="206"/>
      <c r="C29" s="21">
        <v>51</v>
      </c>
      <c r="D29" s="22">
        <v>0.75700000000000001</v>
      </c>
      <c r="E29" s="22">
        <v>0.75900000000000001</v>
      </c>
      <c r="F29" s="22">
        <v>0.76100000000000001</v>
      </c>
      <c r="G29" s="22">
        <v>0.76300000000000001</v>
      </c>
      <c r="H29" s="22">
        <v>0.76500000000000001</v>
      </c>
      <c r="I29" s="22">
        <v>0.76700000000000002</v>
      </c>
      <c r="J29" s="22">
        <v>0.76900000000000002</v>
      </c>
      <c r="K29" s="22">
        <v>0.77100000000000002</v>
      </c>
      <c r="L29" s="22">
        <v>0.77300000000000002</v>
      </c>
      <c r="M29" s="22">
        <v>0.77400000000000002</v>
      </c>
      <c r="N29" s="22">
        <v>0.77600000000000002</v>
      </c>
      <c r="O29" s="22">
        <v>0.77800000000000002</v>
      </c>
    </row>
    <row r="30" spans="2:15">
      <c r="B30" s="206"/>
      <c r="C30" s="21">
        <v>52</v>
      </c>
      <c r="D30" s="22">
        <v>0.78</v>
      </c>
      <c r="E30" s="22">
        <v>0.78200000000000003</v>
      </c>
      <c r="F30" s="22">
        <v>0.78400000000000003</v>
      </c>
      <c r="G30" s="22">
        <v>0.78600000000000003</v>
      </c>
      <c r="H30" s="22">
        <v>0.78800000000000003</v>
      </c>
      <c r="I30" s="22">
        <v>0.79100000000000004</v>
      </c>
      <c r="J30" s="22">
        <v>0.79300000000000004</v>
      </c>
      <c r="K30" s="22">
        <v>0.79500000000000004</v>
      </c>
      <c r="L30" s="22">
        <v>0.79700000000000004</v>
      </c>
      <c r="M30" s="22">
        <v>0.79900000000000004</v>
      </c>
      <c r="N30" s="22">
        <v>0.80100000000000005</v>
      </c>
      <c r="O30" s="22">
        <v>0.80300000000000005</v>
      </c>
    </row>
    <row r="31" spans="2:15">
      <c r="B31" s="206"/>
      <c r="C31" s="21">
        <v>53</v>
      </c>
      <c r="D31" s="22">
        <v>0.80500000000000005</v>
      </c>
      <c r="E31" s="22">
        <v>0.80700000000000005</v>
      </c>
      <c r="F31" s="22">
        <v>0.80900000000000005</v>
      </c>
      <c r="G31" s="22">
        <v>0.81100000000000005</v>
      </c>
      <c r="H31" s="22">
        <v>0.81299999999999994</v>
      </c>
      <c r="I31" s="22">
        <v>0.81499999999999995</v>
      </c>
      <c r="J31" s="22">
        <v>0.81699999999999995</v>
      </c>
      <c r="K31" s="22">
        <v>0.81899999999999995</v>
      </c>
      <c r="L31" s="22">
        <v>0.82199999999999995</v>
      </c>
      <c r="M31" s="22">
        <v>0.82399999999999995</v>
      </c>
      <c r="N31" s="22">
        <v>0.82599999999999996</v>
      </c>
      <c r="O31" s="22">
        <v>0.82799999999999996</v>
      </c>
    </row>
    <row r="32" spans="2:15">
      <c r="B32" s="206"/>
      <c r="C32" s="21">
        <v>54</v>
      </c>
      <c r="D32" s="22">
        <v>0.83</v>
      </c>
      <c r="E32" s="22">
        <v>0.83199999999999996</v>
      </c>
      <c r="F32" s="22">
        <v>0.83399999999999996</v>
      </c>
      <c r="G32" s="22">
        <v>0.83599999999999997</v>
      </c>
      <c r="H32" s="22">
        <v>0.83899999999999997</v>
      </c>
      <c r="I32" s="22">
        <v>0.84099999999999997</v>
      </c>
      <c r="J32" s="22">
        <v>0.84299999999999997</v>
      </c>
      <c r="K32" s="22">
        <v>0.84499999999999997</v>
      </c>
      <c r="L32" s="22">
        <v>0.84699999999999998</v>
      </c>
      <c r="M32" s="22">
        <v>0.85</v>
      </c>
      <c r="N32" s="22">
        <v>0.85199999999999998</v>
      </c>
      <c r="O32" s="22">
        <v>0.85399999999999998</v>
      </c>
    </row>
    <row r="33" spans="2:15">
      <c r="B33" s="206"/>
      <c r="C33" s="21">
        <v>55</v>
      </c>
      <c r="D33" s="22">
        <v>0.85599999999999998</v>
      </c>
      <c r="E33" s="22">
        <v>0.85799999999999998</v>
      </c>
      <c r="F33" s="22">
        <v>0.86099999999999999</v>
      </c>
      <c r="G33" s="22">
        <v>0.86299999999999999</v>
      </c>
      <c r="H33" s="22">
        <v>0.86499999999999999</v>
      </c>
      <c r="I33" s="22">
        <v>0.86699999999999999</v>
      </c>
      <c r="J33" s="22">
        <v>0.87</v>
      </c>
      <c r="K33" s="22">
        <v>0.872</v>
      </c>
      <c r="L33" s="22">
        <v>0.874</v>
      </c>
      <c r="M33" s="22">
        <v>0.876</v>
      </c>
      <c r="N33" s="22">
        <v>0.879</v>
      </c>
      <c r="O33" s="22">
        <v>0.88100000000000001</v>
      </c>
    </row>
    <row r="34" spans="2:15">
      <c r="B34" s="206"/>
      <c r="C34" s="21">
        <v>56</v>
      </c>
      <c r="D34" s="22">
        <v>0.88300000000000001</v>
      </c>
      <c r="E34" s="22">
        <v>0.88500000000000001</v>
      </c>
      <c r="F34" s="22">
        <v>0.88800000000000001</v>
      </c>
      <c r="G34" s="22">
        <v>0.89</v>
      </c>
      <c r="H34" s="22">
        <v>0.89200000000000002</v>
      </c>
      <c r="I34" s="22">
        <v>0.89500000000000002</v>
      </c>
      <c r="J34" s="22">
        <v>0.89700000000000002</v>
      </c>
      <c r="K34" s="22">
        <v>0.89900000000000002</v>
      </c>
      <c r="L34" s="22">
        <v>0.90200000000000002</v>
      </c>
      <c r="M34" s="22">
        <v>0.90400000000000003</v>
      </c>
      <c r="N34" s="22">
        <v>0.90600000000000003</v>
      </c>
      <c r="O34" s="22">
        <v>0.90900000000000003</v>
      </c>
    </row>
    <row r="35" spans="2:15">
      <c r="B35" s="206"/>
      <c r="C35" s="21">
        <v>57</v>
      </c>
      <c r="D35" s="22">
        <v>0.91100000000000003</v>
      </c>
      <c r="E35" s="22">
        <v>0.91400000000000003</v>
      </c>
      <c r="F35" s="22">
        <v>0.91600000000000004</v>
      </c>
      <c r="G35" s="22">
        <v>0.91800000000000004</v>
      </c>
      <c r="H35" s="22">
        <v>0.92100000000000004</v>
      </c>
      <c r="I35" s="22">
        <v>0.92300000000000004</v>
      </c>
      <c r="J35" s="22">
        <v>0.92600000000000005</v>
      </c>
      <c r="K35" s="22">
        <v>0.92800000000000005</v>
      </c>
      <c r="L35" s="22">
        <v>0.93</v>
      </c>
      <c r="M35" s="22">
        <v>0.93300000000000005</v>
      </c>
      <c r="N35" s="22">
        <v>0.93500000000000005</v>
      </c>
      <c r="O35" s="22">
        <v>0.93799999999999994</v>
      </c>
    </row>
    <row r="36" spans="2:15">
      <c r="B36" s="206"/>
      <c r="C36" s="21">
        <v>58</v>
      </c>
      <c r="D36" s="22">
        <v>0.94</v>
      </c>
      <c r="E36" s="22">
        <v>0.94299999999999995</v>
      </c>
      <c r="F36" s="22">
        <v>0.94499999999999995</v>
      </c>
      <c r="G36" s="22">
        <v>0.94799999999999995</v>
      </c>
      <c r="H36" s="22">
        <v>0.95</v>
      </c>
      <c r="I36" s="22">
        <v>0.95299999999999996</v>
      </c>
      <c r="J36" s="22">
        <v>0.95499999999999996</v>
      </c>
      <c r="K36" s="22">
        <v>0.95799999999999996</v>
      </c>
      <c r="L36" s="22">
        <v>0.96</v>
      </c>
      <c r="M36" s="22">
        <v>0.96299999999999997</v>
      </c>
      <c r="N36" s="22">
        <v>0.96499999999999997</v>
      </c>
      <c r="O36" s="22">
        <v>0.96799999999999997</v>
      </c>
    </row>
    <row r="37" spans="2:15">
      <c r="B37" s="206"/>
      <c r="C37" s="21">
        <v>59</v>
      </c>
      <c r="D37" s="22">
        <v>0.97</v>
      </c>
      <c r="E37" s="22">
        <v>0.97299999999999998</v>
      </c>
      <c r="F37" s="22">
        <v>0.97499999999999998</v>
      </c>
      <c r="G37" s="22">
        <v>0.97799999999999998</v>
      </c>
      <c r="H37" s="22">
        <v>0.98099999999999998</v>
      </c>
      <c r="I37" s="22">
        <v>0.98299999999999998</v>
      </c>
      <c r="J37" s="22">
        <v>0.98599999999999999</v>
      </c>
      <c r="K37" s="22">
        <v>0.98799999999999999</v>
      </c>
      <c r="L37" s="22">
        <v>0.99099999999999999</v>
      </c>
      <c r="M37" s="22">
        <v>0.99399999999999999</v>
      </c>
      <c r="N37" s="22">
        <v>0.996</v>
      </c>
      <c r="O37" s="22">
        <v>0.999</v>
      </c>
    </row>
    <row r="41" spans="2:15" ht="33.75" customHeight="1">
      <c r="B41" s="199" t="s">
        <v>101</v>
      </c>
      <c r="C41" s="200"/>
      <c r="D41" s="200"/>
      <c r="E41" s="200"/>
      <c r="F41" s="200"/>
      <c r="G41" s="200"/>
      <c r="H41" s="200"/>
      <c r="I41" s="200"/>
      <c r="J41" s="200"/>
      <c r="K41" s="200"/>
      <c r="L41" s="200"/>
      <c r="M41" s="200"/>
      <c r="N41" s="200"/>
      <c r="O41" s="201"/>
    </row>
    <row r="42" spans="2:15">
      <c r="B42" s="27" t="s">
        <v>102</v>
      </c>
      <c r="C42" s="28"/>
      <c r="D42" s="202" t="s">
        <v>91</v>
      </c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</row>
    <row r="43" spans="2:15">
      <c r="B43" s="24"/>
      <c r="C43" s="25"/>
      <c r="D43" s="205" t="s">
        <v>76</v>
      </c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</row>
    <row r="44" spans="2:15">
      <c r="B44" s="26"/>
      <c r="C44" s="23"/>
      <c r="D44" s="21">
        <v>0</v>
      </c>
      <c r="E44" s="21">
        <v>1</v>
      </c>
      <c r="F44" s="21">
        <v>2</v>
      </c>
      <c r="G44" s="21">
        <v>3</v>
      </c>
      <c r="H44" s="21">
        <v>4</v>
      </c>
      <c r="I44" s="21">
        <v>5</v>
      </c>
      <c r="J44" s="21">
        <v>6</v>
      </c>
      <c r="K44" s="21">
        <v>7</v>
      </c>
      <c r="L44" s="21">
        <v>8</v>
      </c>
      <c r="M44" s="21">
        <v>9</v>
      </c>
      <c r="N44" s="21">
        <v>10</v>
      </c>
      <c r="O44" s="21">
        <v>11</v>
      </c>
    </row>
    <row r="45" spans="2:15" ht="15" customHeight="1">
      <c r="B45" s="207" t="s">
        <v>73</v>
      </c>
      <c r="C45" s="21">
        <v>50</v>
      </c>
      <c r="D45" s="22">
        <v>0.49199999999999999</v>
      </c>
      <c r="E45" s="22">
        <v>0.49399999999999999</v>
      </c>
      <c r="F45" s="22">
        <v>0.496</v>
      </c>
      <c r="G45" s="22">
        <v>0.497</v>
      </c>
      <c r="H45" s="22">
        <v>0.499</v>
      </c>
      <c r="I45" s="22">
        <v>0.501</v>
      </c>
      <c r="J45" s="22">
        <v>0.502</v>
      </c>
      <c r="K45" s="22">
        <v>0.504</v>
      </c>
      <c r="L45" s="22">
        <v>0.50600000000000001</v>
      </c>
      <c r="M45" s="22">
        <v>0.50700000000000001</v>
      </c>
      <c r="N45" s="22">
        <v>0.50900000000000001</v>
      </c>
      <c r="O45" s="22">
        <v>0.51100000000000001</v>
      </c>
    </row>
    <row r="46" spans="2:15">
      <c r="B46" s="208"/>
      <c r="C46" s="21">
        <v>51</v>
      </c>
      <c r="D46" s="22">
        <v>0.51200000000000001</v>
      </c>
      <c r="E46" s="22">
        <v>0.51400000000000001</v>
      </c>
      <c r="F46" s="22">
        <v>0.51600000000000001</v>
      </c>
      <c r="G46" s="22">
        <v>0.51800000000000002</v>
      </c>
      <c r="H46" s="22">
        <v>0.51900000000000002</v>
      </c>
      <c r="I46" s="22">
        <v>0.52100000000000002</v>
      </c>
      <c r="J46" s="22">
        <v>0.52300000000000002</v>
      </c>
      <c r="K46" s="22">
        <v>0.52500000000000002</v>
      </c>
      <c r="L46" s="22">
        <v>0.52700000000000002</v>
      </c>
      <c r="M46" s="22">
        <v>0.52800000000000002</v>
      </c>
      <c r="N46" s="22">
        <v>0.53</v>
      </c>
      <c r="O46" s="22">
        <v>0.53200000000000003</v>
      </c>
    </row>
    <row r="47" spans="2:15">
      <c r="B47" s="208"/>
      <c r="C47" s="21">
        <v>52</v>
      </c>
      <c r="D47" s="22">
        <v>0.53400000000000003</v>
      </c>
      <c r="E47" s="22">
        <v>0.53600000000000003</v>
      </c>
      <c r="F47" s="22">
        <v>0.53800000000000003</v>
      </c>
      <c r="G47" s="22">
        <v>0.53900000000000003</v>
      </c>
      <c r="H47" s="22">
        <v>0.54100000000000004</v>
      </c>
      <c r="I47" s="22">
        <v>0.54300000000000004</v>
      </c>
      <c r="J47" s="22">
        <v>0.54500000000000004</v>
      </c>
      <c r="K47" s="22">
        <v>0.54700000000000004</v>
      </c>
      <c r="L47" s="22">
        <v>0.54900000000000004</v>
      </c>
      <c r="M47" s="22">
        <v>0.55100000000000005</v>
      </c>
      <c r="N47" s="22">
        <v>0.55300000000000005</v>
      </c>
      <c r="O47" s="22">
        <v>0.55500000000000005</v>
      </c>
    </row>
    <row r="48" spans="2:15">
      <c r="B48" s="208"/>
      <c r="C48" s="21">
        <v>53</v>
      </c>
      <c r="D48" s="22">
        <v>0.55700000000000005</v>
      </c>
      <c r="E48" s="22">
        <v>0.55900000000000005</v>
      </c>
      <c r="F48" s="22">
        <v>0.56100000000000005</v>
      </c>
      <c r="G48" s="22">
        <v>0.56299999999999994</v>
      </c>
      <c r="H48" s="22">
        <v>0.56499999999999995</v>
      </c>
      <c r="I48" s="22">
        <v>0.56699999999999995</v>
      </c>
      <c r="J48" s="22">
        <v>0.56899999999999995</v>
      </c>
      <c r="K48" s="22">
        <v>0.57099999999999995</v>
      </c>
      <c r="L48" s="22">
        <v>0.57299999999999995</v>
      </c>
      <c r="M48" s="22">
        <v>0.57499999999999996</v>
      </c>
      <c r="N48" s="22">
        <v>0.57699999999999996</v>
      </c>
      <c r="O48" s="22">
        <v>0.57899999999999996</v>
      </c>
    </row>
    <row r="49" spans="2:15">
      <c r="B49" s="208"/>
      <c r="C49" s="21">
        <v>54</v>
      </c>
      <c r="D49" s="22">
        <v>0.58099999999999996</v>
      </c>
      <c r="E49" s="22">
        <v>0.58399999999999996</v>
      </c>
      <c r="F49" s="22">
        <v>0.58599999999999997</v>
      </c>
      <c r="G49" s="22">
        <v>0.58799999999999997</v>
      </c>
      <c r="H49" s="22">
        <v>0.59099999999999997</v>
      </c>
      <c r="I49" s="22">
        <v>0.59299999999999997</v>
      </c>
      <c r="J49" s="22">
        <v>0.59499999999999997</v>
      </c>
      <c r="K49" s="22">
        <v>0.59699999999999998</v>
      </c>
      <c r="L49" s="22">
        <v>0.6</v>
      </c>
      <c r="M49" s="22">
        <v>0.60199999999999998</v>
      </c>
      <c r="N49" s="22">
        <v>0.60399999999999998</v>
      </c>
      <c r="O49" s="22">
        <v>0.60599999999999998</v>
      </c>
    </row>
    <row r="50" spans="2:15">
      <c r="B50" s="208"/>
      <c r="C50" s="21">
        <v>55</v>
      </c>
      <c r="D50" s="22">
        <v>0.60899999999999999</v>
      </c>
      <c r="E50" s="22">
        <v>0.61099999999999999</v>
      </c>
      <c r="F50" s="22">
        <v>0.61299999999999999</v>
      </c>
      <c r="G50" s="22">
        <v>0.61599999999999999</v>
      </c>
      <c r="H50" s="22">
        <v>0.61799999999999999</v>
      </c>
      <c r="I50" s="22">
        <v>0.621</v>
      </c>
      <c r="J50" s="22">
        <v>0.623</v>
      </c>
      <c r="K50" s="22">
        <v>0.625</v>
      </c>
      <c r="L50" s="22">
        <v>0.628</v>
      </c>
      <c r="M50" s="22">
        <v>0.63</v>
      </c>
      <c r="N50" s="22">
        <v>0.63300000000000001</v>
      </c>
      <c r="O50" s="22">
        <v>0.63500000000000001</v>
      </c>
    </row>
    <row r="51" spans="2:15">
      <c r="B51" s="208"/>
      <c r="C51" s="21">
        <v>56</v>
      </c>
      <c r="D51" s="22">
        <v>0.63700000000000001</v>
      </c>
      <c r="E51" s="22">
        <v>0.64</v>
      </c>
      <c r="F51" s="22">
        <v>0.64300000000000002</v>
      </c>
      <c r="G51" s="22">
        <v>0.64500000000000002</v>
      </c>
      <c r="H51" s="22">
        <v>0.64800000000000002</v>
      </c>
      <c r="I51" s="22">
        <v>0.65</v>
      </c>
      <c r="J51" s="22">
        <v>0.65300000000000002</v>
      </c>
      <c r="K51" s="22">
        <v>0.65500000000000003</v>
      </c>
      <c r="L51" s="22">
        <v>0.65800000000000003</v>
      </c>
      <c r="M51" s="22">
        <v>0.66</v>
      </c>
      <c r="N51" s="22">
        <v>0.66300000000000003</v>
      </c>
      <c r="O51" s="22">
        <v>0.66500000000000004</v>
      </c>
    </row>
    <row r="52" spans="2:15">
      <c r="B52" s="208"/>
      <c r="C52" s="21">
        <v>57</v>
      </c>
      <c r="D52" s="22">
        <v>0.66800000000000004</v>
      </c>
      <c r="E52" s="22">
        <v>0.67100000000000004</v>
      </c>
      <c r="F52" s="22">
        <v>0.67300000000000004</v>
      </c>
      <c r="G52" s="22">
        <v>0.67600000000000005</v>
      </c>
      <c r="H52" s="22">
        <v>0.67900000000000005</v>
      </c>
      <c r="I52" s="22">
        <v>0.68200000000000005</v>
      </c>
      <c r="J52" s="22">
        <v>0.68400000000000005</v>
      </c>
      <c r="K52" s="22">
        <v>0.68700000000000006</v>
      </c>
      <c r="L52" s="22">
        <v>0.69</v>
      </c>
      <c r="M52" s="22">
        <v>0.69199999999999995</v>
      </c>
      <c r="N52" s="22">
        <v>0.69499999999999995</v>
      </c>
      <c r="O52" s="22">
        <v>0.69799999999999995</v>
      </c>
    </row>
    <row r="53" spans="2:15">
      <c r="B53" s="208"/>
      <c r="C53" s="21">
        <v>58</v>
      </c>
      <c r="D53" s="22">
        <v>0.70099999999999996</v>
      </c>
      <c r="E53" s="22">
        <v>0.70299999999999996</v>
      </c>
      <c r="F53" s="22">
        <v>0.70599999999999996</v>
      </c>
      <c r="G53" s="22">
        <v>0.70899999999999996</v>
      </c>
      <c r="H53" s="22">
        <v>0.71199999999999997</v>
      </c>
      <c r="I53" s="22">
        <v>0.71499999999999997</v>
      </c>
      <c r="J53" s="22">
        <v>0.71799999999999997</v>
      </c>
      <c r="K53" s="22">
        <v>0.72099999999999997</v>
      </c>
      <c r="L53" s="22">
        <v>0.72399999999999998</v>
      </c>
      <c r="M53" s="22">
        <v>0.72699999999999998</v>
      </c>
      <c r="N53" s="22">
        <v>0.72899999999999998</v>
      </c>
      <c r="O53" s="22">
        <v>0.73199999999999998</v>
      </c>
    </row>
    <row r="54" spans="2:15">
      <c r="B54" s="208"/>
      <c r="C54" s="21">
        <v>59</v>
      </c>
      <c r="D54" s="22">
        <v>0.73499999999999999</v>
      </c>
      <c r="E54" s="22">
        <v>0.73799999999999999</v>
      </c>
      <c r="F54" s="22">
        <v>0.74199999999999999</v>
      </c>
      <c r="G54" s="22">
        <v>0.745</v>
      </c>
      <c r="H54" s="22">
        <v>0.748</v>
      </c>
      <c r="I54" s="22">
        <v>0.751</v>
      </c>
      <c r="J54" s="22">
        <v>0.754</v>
      </c>
      <c r="K54" s="22">
        <v>0.75700000000000001</v>
      </c>
      <c r="L54" s="22">
        <v>0.76</v>
      </c>
      <c r="M54" s="22">
        <v>0.76300000000000001</v>
      </c>
      <c r="N54" s="22">
        <v>0.76600000000000001</v>
      </c>
      <c r="O54" s="22">
        <v>0.76900000000000002</v>
      </c>
    </row>
    <row r="55" spans="2:15">
      <c r="B55" s="208"/>
      <c r="C55" s="21">
        <v>60</v>
      </c>
      <c r="D55" s="22">
        <v>0.77200000000000002</v>
      </c>
      <c r="E55" s="22">
        <v>0.77600000000000002</v>
      </c>
      <c r="F55" s="22">
        <v>0.77900000000000003</v>
      </c>
      <c r="G55" s="22">
        <v>0.78200000000000003</v>
      </c>
      <c r="H55" s="22">
        <v>0.78600000000000003</v>
      </c>
      <c r="I55" s="22">
        <v>0.78900000000000003</v>
      </c>
      <c r="J55" s="22">
        <v>0.79200000000000004</v>
      </c>
      <c r="K55" s="22">
        <v>0.79600000000000004</v>
      </c>
      <c r="L55" s="22">
        <v>0.79900000000000004</v>
      </c>
      <c r="M55" s="22">
        <v>0.80200000000000005</v>
      </c>
      <c r="N55" s="22">
        <v>0.80500000000000005</v>
      </c>
      <c r="O55" s="22">
        <v>0.80900000000000005</v>
      </c>
    </row>
    <row r="56" spans="2:15">
      <c r="B56" s="208"/>
      <c r="C56" s="21">
        <v>61</v>
      </c>
      <c r="D56" s="22">
        <v>0.81200000000000006</v>
      </c>
      <c r="E56" s="22">
        <v>0.81599999999999995</v>
      </c>
      <c r="F56" s="22">
        <v>0.81899999999999995</v>
      </c>
      <c r="G56" s="22">
        <v>0.82299999999999995</v>
      </c>
      <c r="H56" s="22">
        <v>0.82599999999999996</v>
      </c>
      <c r="I56" s="22">
        <v>0.83</v>
      </c>
      <c r="J56" s="22">
        <v>0.83299999999999996</v>
      </c>
      <c r="K56" s="22">
        <v>0.83699999999999997</v>
      </c>
      <c r="L56" s="22">
        <v>0.84</v>
      </c>
      <c r="M56" s="22">
        <v>0.84399999999999997</v>
      </c>
      <c r="N56" s="22">
        <v>0.84699999999999998</v>
      </c>
      <c r="O56" s="22">
        <v>0.85099999999999998</v>
      </c>
    </row>
    <row r="57" spans="2:15">
      <c r="B57" s="208"/>
      <c r="C57" s="21">
        <v>62</v>
      </c>
      <c r="D57" s="22">
        <v>0.85499999999999998</v>
      </c>
      <c r="E57" s="22">
        <v>0.85799999999999998</v>
      </c>
      <c r="F57" s="22">
        <v>0.86199999999999999</v>
      </c>
      <c r="G57" s="22">
        <v>0.86599999999999999</v>
      </c>
      <c r="H57" s="22">
        <v>0.87</v>
      </c>
      <c r="I57" s="22">
        <v>0.874</v>
      </c>
      <c r="J57" s="22">
        <v>0.877</v>
      </c>
      <c r="K57" s="30">
        <v>0.88100000000000001</v>
      </c>
      <c r="L57" s="22">
        <v>0.88500000000000001</v>
      </c>
      <c r="M57" s="22">
        <v>0.88900000000000001</v>
      </c>
      <c r="N57" s="22">
        <v>0.89300000000000002</v>
      </c>
      <c r="O57" s="22">
        <v>0.89600000000000002</v>
      </c>
    </row>
    <row r="58" spans="2:15">
      <c r="B58" s="208"/>
      <c r="C58" s="21">
        <v>63</v>
      </c>
      <c r="D58" s="22">
        <v>0.9</v>
      </c>
      <c r="E58" s="22">
        <v>0.90400000000000003</v>
      </c>
      <c r="F58" s="22">
        <v>0.90900000000000003</v>
      </c>
      <c r="G58" s="22">
        <v>0.91300000000000003</v>
      </c>
      <c r="H58" s="22">
        <v>0.91700000000000004</v>
      </c>
      <c r="I58" s="22">
        <v>0.92100000000000004</v>
      </c>
      <c r="J58" s="22">
        <v>0.92500000000000004</v>
      </c>
      <c r="K58" s="22">
        <v>0.92900000000000005</v>
      </c>
      <c r="L58" s="22">
        <v>0.93300000000000005</v>
      </c>
      <c r="M58" s="22">
        <v>0.93700000000000006</v>
      </c>
      <c r="N58" s="22">
        <v>0.94099999999999995</v>
      </c>
      <c r="O58" s="22">
        <v>0.94499999999999995</v>
      </c>
    </row>
    <row r="59" spans="2:15">
      <c r="B59" s="209"/>
      <c r="C59" s="21">
        <v>64</v>
      </c>
      <c r="D59" s="22">
        <v>0.94899999999999995</v>
      </c>
      <c r="E59" s="22">
        <v>0.95399999999999996</v>
      </c>
      <c r="F59" s="22">
        <v>0.95799999999999996</v>
      </c>
      <c r="G59" s="22">
        <v>0.96299999999999997</v>
      </c>
      <c r="H59" s="22">
        <v>0.96699999999999997</v>
      </c>
      <c r="I59" s="22">
        <v>0.97099999999999997</v>
      </c>
      <c r="J59" s="22">
        <v>0.97599999999999998</v>
      </c>
      <c r="K59" s="22">
        <v>0.98</v>
      </c>
      <c r="L59" s="22">
        <v>0.98499999999999999</v>
      </c>
      <c r="M59" s="22">
        <v>0.98899999999999999</v>
      </c>
      <c r="N59" s="22">
        <v>0.99299999999999999</v>
      </c>
      <c r="O59" s="22">
        <v>0.998</v>
      </c>
    </row>
    <row r="63" spans="2:15">
      <c r="C63" s="44" t="s">
        <v>115</v>
      </c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</row>
    <row r="64" spans="2:15">
      <c r="C64" s="44" t="s">
        <v>116</v>
      </c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</row>
    <row r="65" spans="3:15">
      <c r="C65" s="44" t="s">
        <v>117</v>
      </c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</row>
    <row r="66" spans="3:15">
      <c r="C66" s="46" t="s">
        <v>118</v>
      </c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</row>
    <row r="67" spans="3:15" ht="15.75" thickBot="1"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</row>
    <row r="68" spans="3:15" ht="15.75" thickBot="1">
      <c r="C68" s="193" t="s">
        <v>119</v>
      </c>
      <c r="D68" s="194"/>
      <c r="E68" s="194"/>
      <c r="F68" s="194"/>
      <c r="G68" s="194"/>
      <c r="H68" s="194"/>
      <c r="I68" s="194"/>
      <c r="J68" s="194"/>
      <c r="K68" s="194"/>
      <c r="L68" s="194"/>
      <c r="M68" s="194"/>
      <c r="N68" s="194"/>
      <c r="O68" s="195"/>
    </row>
    <row r="69" spans="3:15" ht="15.75" thickBot="1">
      <c r="C69" s="47" t="s">
        <v>120</v>
      </c>
      <c r="D69" s="48">
        <v>0</v>
      </c>
      <c r="E69" s="48">
        <v>1</v>
      </c>
      <c r="F69" s="48">
        <v>2</v>
      </c>
      <c r="G69" s="48">
        <v>3</v>
      </c>
      <c r="H69" s="48">
        <v>4</v>
      </c>
      <c r="I69" s="48">
        <v>5</v>
      </c>
      <c r="J69" s="48">
        <v>6</v>
      </c>
      <c r="K69" s="48">
        <v>7</v>
      </c>
      <c r="L69" s="48">
        <v>8</v>
      </c>
      <c r="M69" s="48">
        <v>9</v>
      </c>
      <c r="N69" s="48">
        <v>10</v>
      </c>
      <c r="O69" s="48">
        <v>11</v>
      </c>
    </row>
    <row r="70" spans="3:15" ht="15.75" thickBot="1">
      <c r="C70" s="49">
        <v>55</v>
      </c>
      <c r="D70" s="50">
        <v>1.7000000000000001E-2</v>
      </c>
      <c r="E70" s="50">
        <v>1.7000000000000001E-2</v>
      </c>
      <c r="F70" s="50">
        <v>1.7000000000000001E-2</v>
      </c>
      <c r="G70" s="50">
        <v>1.7000000000000001E-2</v>
      </c>
      <c r="H70" s="50">
        <v>1.7000000000000001E-2</v>
      </c>
      <c r="I70" s="50">
        <v>1.7000000000000001E-2</v>
      </c>
      <c r="J70" s="50">
        <v>1.7000000000000001E-2</v>
      </c>
      <c r="K70" s="50">
        <v>1.7000000000000001E-2</v>
      </c>
      <c r="L70" s="50">
        <v>1.7000000000000001E-2</v>
      </c>
      <c r="M70" s="50">
        <v>1.7000000000000001E-2</v>
      </c>
      <c r="N70" s="50">
        <v>1.7000000000000001E-2</v>
      </c>
      <c r="O70" s="50">
        <v>1.6E-2</v>
      </c>
    </row>
    <row r="71" spans="3:15" ht="15.75" thickBot="1">
      <c r="C71" s="49">
        <v>56</v>
      </c>
      <c r="D71" s="50">
        <v>1.6E-2</v>
      </c>
      <c r="E71" s="50">
        <v>1.6E-2</v>
      </c>
      <c r="F71" s="50">
        <v>1.6E-2</v>
      </c>
      <c r="G71" s="50">
        <v>1.6E-2</v>
      </c>
      <c r="H71" s="50">
        <v>1.6E-2</v>
      </c>
      <c r="I71" s="50">
        <v>1.6E-2</v>
      </c>
      <c r="J71" s="50">
        <v>1.6E-2</v>
      </c>
      <c r="K71" s="50">
        <v>1.6E-2</v>
      </c>
      <c r="L71" s="50">
        <v>1.6E-2</v>
      </c>
      <c r="M71" s="50">
        <v>1.6E-2</v>
      </c>
      <c r="N71" s="50">
        <v>1.4999999999999999E-2</v>
      </c>
      <c r="O71" s="50">
        <v>1.4999999999999999E-2</v>
      </c>
    </row>
    <row r="72" spans="3:15" ht="15.75" thickBot="1">
      <c r="C72" s="49">
        <v>57</v>
      </c>
      <c r="D72" s="50">
        <v>1.4999999999999999E-2</v>
      </c>
      <c r="E72" s="50">
        <v>1.4999999999999999E-2</v>
      </c>
      <c r="F72" s="50">
        <v>1.4999999999999999E-2</v>
      </c>
      <c r="G72" s="50">
        <v>1.4999999999999999E-2</v>
      </c>
      <c r="H72" s="50">
        <v>1.4999999999999999E-2</v>
      </c>
      <c r="I72" s="50">
        <v>1.4999999999999999E-2</v>
      </c>
      <c r="J72" s="50">
        <v>1.4999999999999999E-2</v>
      </c>
      <c r="K72" s="50">
        <v>1.4999999999999999E-2</v>
      </c>
      <c r="L72" s="50">
        <v>1.4999999999999999E-2</v>
      </c>
      <c r="M72" s="50">
        <v>1.4E-2</v>
      </c>
      <c r="N72" s="50">
        <v>1.4E-2</v>
      </c>
      <c r="O72" s="50">
        <v>1.4E-2</v>
      </c>
    </row>
    <row r="73" spans="3:15" ht="15.75" thickBot="1">
      <c r="C73" s="49">
        <v>58</v>
      </c>
      <c r="D73" s="50">
        <v>1.4E-2</v>
      </c>
      <c r="E73" s="50">
        <v>1.4E-2</v>
      </c>
      <c r="F73" s="50">
        <v>1.4E-2</v>
      </c>
      <c r="G73" s="50">
        <v>1.4E-2</v>
      </c>
      <c r="H73" s="50">
        <v>1.4E-2</v>
      </c>
      <c r="I73" s="50">
        <v>1.4E-2</v>
      </c>
      <c r="J73" s="50">
        <v>1.4E-2</v>
      </c>
      <c r="K73" s="50">
        <v>1.2999999999999999E-2</v>
      </c>
      <c r="L73" s="50">
        <v>1.2999999999999999E-2</v>
      </c>
      <c r="M73" s="50">
        <v>1.2999999999999999E-2</v>
      </c>
      <c r="N73" s="50">
        <v>1.2999999999999999E-2</v>
      </c>
      <c r="O73" s="50">
        <v>1.2999999999999999E-2</v>
      </c>
    </row>
    <row r="74" spans="3:15" ht="15.75" thickBot="1">
      <c r="C74" s="49">
        <v>59</v>
      </c>
      <c r="D74" s="50">
        <v>1.2999999999999999E-2</v>
      </c>
      <c r="E74" s="50">
        <v>1.2999999999999999E-2</v>
      </c>
      <c r="F74" s="50">
        <v>1.2999999999999999E-2</v>
      </c>
      <c r="G74" s="50">
        <v>1.2999999999999999E-2</v>
      </c>
      <c r="H74" s="50">
        <v>1.2999999999999999E-2</v>
      </c>
      <c r="I74" s="50">
        <v>1.2E-2</v>
      </c>
      <c r="J74" s="50">
        <v>1.2E-2</v>
      </c>
      <c r="K74" s="50">
        <v>1.2E-2</v>
      </c>
      <c r="L74" s="50">
        <v>1.2E-2</v>
      </c>
      <c r="M74" s="50">
        <v>1.2E-2</v>
      </c>
      <c r="N74" s="50">
        <v>1.2E-2</v>
      </c>
      <c r="O74" s="50">
        <v>1.2E-2</v>
      </c>
    </row>
    <row r="75" spans="3:15" ht="15.75" thickBot="1">
      <c r="C75" s="49">
        <v>60</v>
      </c>
      <c r="D75" s="50">
        <v>1.2E-2</v>
      </c>
      <c r="E75" s="50">
        <v>1.0999999999999999E-2</v>
      </c>
      <c r="F75" s="50">
        <v>1.0999999999999999E-2</v>
      </c>
      <c r="G75" s="50">
        <v>1.0999999999999999E-2</v>
      </c>
      <c r="H75" s="50">
        <v>1.0999999999999999E-2</v>
      </c>
      <c r="I75" s="50">
        <v>1.0999999999999999E-2</v>
      </c>
      <c r="J75" s="50">
        <v>1.0999999999999999E-2</v>
      </c>
      <c r="K75" s="50">
        <v>0.01</v>
      </c>
      <c r="L75" s="50">
        <v>0.01</v>
      </c>
      <c r="M75" s="50">
        <v>0.01</v>
      </c>
      <c r="N75" s="50">
        <v>0.01</v>
      </c>
      <c r="O75" s="50">
        <v>0.01</v>
      </c>
    </row>
    <row r="76" spans="3:15" ht="15.75" thickBot="1">
      <c r="C76" s="49">
        <v>61</v>
      </c>
      <c r="D76" s="50">
        <v>0.01</v>
      </c>
      <c r="E76" s="50">
        <v>8.9999999999999993E-3</v>
      </c>
      <c r="F76" s="50">
        <v>8.9999999999999993E-3</v>
      </c>
      <c r="G76" s="50">
        <v>8.9999999999999993E-3</v>
      </c>
      <c r="H76" s="50">
        <v>8.9999999999999993E-3</v>
      </c>
      <c r="I76" s="50">
        <v>8.9999999999999993E-3</v>
      </c>
      <c r="J76" s="50">
        <v>8.9999999999999993E-3</v>
      </c>
      <c r="K76" s="50">
        <v>8.0000000000000002E-3</v>
      </c>
      <c r="L76" s="50">
        <v>8.0000000000000002E-3</v>
      </c>
      <c r="M76" s="50">
        <v>8.0000000000000002E-3</v>
      </c>
      <c r="N76" s="50">
        <v>8.0000000000000002E-3</v>
      </c>
      <c r="O76" s="50">
        <v>8.0000000000000002E-3</v>
      </c>
    </row>
    <row r="77" spans="3:15" ht="15.75" thickBot="1">
      <c r="C77" s="49">
        <v>62</v>
      </c>
      <c r="D77" s="50">
        <v>7.0000000000000001E-3</v>
      </c>
      <c r="E77" s="50">
        <v>7.0000000000000001E-3</v>
      </c>
      <c r="F77" s="50">
        <v>7.0000000000000001E-3</v>
      </c>
      <c r="G77" s="50">
        <v>7.0000000000000001E-3</v>
      </c>
      <c r="H77" s="50">
        <v>7.0000000000000001E-3</v>
      </c>
      <c r="I77" s="50">
        <v>6.0000000000000001E-3</v>
      </c>
      <c r="J77" s="50">
        <v>6.0000000000000001E-3</v>
      </c>
      <c r="K77" s="50">
        <v>6.0000000000000001E-3</v>
      </c>
      <c r="L77" s="50">
        <v>6.0000000000000001E-3</v>
      </c>
      <c r="M77" s="50">
        <v>6.0000000000000001E-3</v>
      </c>
      <c r="N77" s="50">
        <v>5.0000000000000001E-3</v>
      </c>
      <c r="O77" s="50">
        <v>5.0000000000000001E-3</v>
      </c>
    </row>
    <row r="78" spans="3:15" ht="15.75" thickBot="1">
      <c r="C78" s="49">
        <v>63</v>
      </c>
      <c r="D78" s="50">
        <v>5.0000000000000001E-3</v>
      </c>
      <c r="E78" s="50">
        <v>5.0000000000000001E-3</v>
      </c>
      <c r="F78" s="50">
        <v>5.0000000000000001E-3</v>
      </c>
      <c r="G78" s="50">
        <v>4.0000000000000001E-3</v>
      </c>
      <c r="H78" s="50">
        <v>4.0000000000000001E-3</v>
      </c>
      <c r="I78" s="50">
        <v>4.0000000000000001E-3</v>
      </c>
      <c r="J78" s="50">
        <v>4.0000000000000001E-3</v>
      </c>
      <c r="K78" s="50">
        <v>4.0000000000000001E-3</v>
      </c>
      <c r="L78" s="50">
        <v>3.0000000000000001E-3</v>
      </c>
      <c r="M78" s="50">
        <v>3.0000000000000001E-3</v>
      </c>
      <c r="N78" s="50">
        <v>3.0000000000000001E-3</v>
      </c>
      <c r="O78" s="50">
        <v>3.0000000000000001E-3</v>
      </c>
    </row>
    <row r="79" spans="3:15" ht="15.75" thickBot="1">
      <c r="C79" s="49">
        <v>64</v>
      </c>
      <c r="D79" s="50">
        <v>3.0000000000000001E-3</v>
      </c>
      <c r="E79" s="50">
        <v>2E-3</v>
      </c>
      <c r="F79" s="50">
        <v>2E-3</v>
      </c>
      <c r="G79" s="50">
        <v>2E-3</v>
      </c>
      <c r="H79" s="50">
        <v>2E-3</v>
      </c>
      <c r="I79" s="50">
        <v>1E-3</v>
      </c>
      <c r="J79" s="50">
        <v>1E-3</v>
      </c>
      <c r="K79" s="50">
        <v>1E-3</v>
      </c>
      <c r="L79" s="50">
        <v>1E-3</v>
      </c>
      <c r="M79" s="50">
        <v>1E-3</v>
      </c>
      <c r="N79" s="50">
        <v>0</v>
      </c>
      <c r="O79" s="50">
        <v>0</v>
      </c>
    </row>
    <row r="80" spans="3:15">
      <c r="C80" s="51">
        <v>65</v>
      </c>
      <c r="D80" s="52">
        <v>0</v>
      </c>
      <c r="E80" s="52">
        <v>0</v>
      </c>
      <c r="F80" s="52">
        <v>0</v>
      </c>
      <c r="G80" s="52">
        <v>0</v>
      </c>
      <c r="H80" s="52">
        <v>0</v>
      </c>
      <c r="I80" s="52">
        <v>0</v>
      </c>
      <c r="J80" s="52">
        <v>0</v>
      </c>
      <c r="K80" s="52">
        <v>0</v>
      </c>
      <c r="L80" s="52">
        <v>0</v>
      </c>
      <c r="M80" s="52">
        <v>0</v>
      </c>
      <c r="N80" s="52">
        <v>0</v>
      </c>
      <c r="O80" s="52">
        <v>0</v>
      </c>
    </row>
    <row r="82" spans="3:16" ht="36" customHeight="1">
      <c r="C82" s="190" t="s">
        <v>121</v>
      </c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</row>
    <row r="83" spans="3:16" ht="31.5" customHeight="1">
      <c r="C83" s="190" t="s">
        <v>122</v>
      </c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</row>
    <row r="84" spans="3:16" ht="31.5" customHeight="1">
      <c r="C84" s="190" t="s">
        <v>123</v>
      </c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</row>
    <row r="85" spans="3:16" ht="29.25" customHeight="1">
      <c r="C85" s="190" t="s">
        <v>124</v>
      </c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</row>
    <row r="89" spans="3:16"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</row>
    <row r="90" spans="3:16">
      <c r="C90" s="192" t="s">
        <v>143</v>
      </c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</row>
    <row r="91" spans="3:16">
      <c r="C91" s="191" t="s">
        <v>144</v>
      </c>
      <c r="D91" s="191"/>
      <c r="E91" s="191"/>
      <c r="F91" s="191"/>
      <c r="G91" s="191"/>
      <c r="H91" s="191"/>
      <c r="I91" s="191"/>
      <c r="J91" s="191"/>
      <c r="K91" s="191"/>
      <c r="L91" s="191"/>
      <c r="M91" s="191"/>
      <c r="N91" s="191"/>
      <c r="O91" s="191"/>
      <c r="P91" s="191"/>
    </row>
    <row r="92" spans="3:16">
      <c r="C92" s="191" t="s">
        <v>117</v>
      </c>
      <c r="D92" s="191"/>
      <c r="E92" s="191"/>
      <c r="F92" s="191"/>
      <c r="G92" s="191"/>
      <c r="H92" s="191"/>
      <c r="I92" s="191"/>
      <c r="J92" s="191"/>
      <c r="K92" s="191"/>
      <c r="L92" s="191"/>
      <c r="M92" s="191"/>
      <c r="N92" s="191"/>
      <c r="O92" s="191"/>
      <c r="P92" s="191"/>
    </row>
    <row r="93" spans="3:16" ht="15.75" thickBot="1">
      <c r="C93" s="191" t="s">
        <v>145</v>
      </c>
      <c r="D93" s="191"/>
      <c r="E93" s="191"/>
      <c r="F93" s="191"/>
      <c r="G93" s="191"/>
      <c r="H93" s="191"/>
      <c r="I93" s="191"/>
      <c r="J93" s="191"/>
      <c r="K93" s="191"/>
      <c r="L93" s="191"/>
      <c r="M93" s="191"/>
      <c r="N93" s="191"/>
      <c r="O93" s="191"/>
      <c r="P93" s="191"/>
    </row>
    <row r="94" spans="3:16" ht="15.75" thickBot="1">
      <c r="C94" s="72" t="s">
        <v>146</v>
      </c>
      <c r="D94" s="73">
        <v>0</v>
      </c>
      <c r="E94" s="73">
        <v>1</v>
      </c>
      <c r="F94" s="73">
        <v>2</v>
      </c>
      <c r="G94" s="73">
        <v>3</v>
      </c>
      <c r="H94" s="73">
        <v>4</v>
      </c>
      <c r="I94" s="73">
        <v>5</v>
      </c>
      <c r="J94" s="73">
        <v>6</v>
      </c>
      <c r="K94" s="73">
        <v>7</v>
      </c>
      <c r="L94" s="73">
        <v>8</v>
      </c>
      <c r="M94" s="73">
        <v>9</v>
      </c>
      <c r="N94" s="73">
        <v>10</v>
      </c>
      <c r="O94" s="73">
        <v>11</v>
      </c>
      <c r="P94" s="10"/>
    </row>
    <row r="95" spans="3:16" ht="15.75" thickBot="1">
      <c r="C95" s="187" t="s">
        <v>147</v>
      </c>
      <c r="D95" s="188"/>
      <c r="E95" s="188"/>
      <c r="F95" s="188"/>
      <c r="G95" s="188"/>
      <c r="H95" s="188"/>
      <c r="I95" s="188"/>
      <c r="J95" s="188"/>
      <c r="K95" s="188"/>
      <c r="L95" s="188"/>
      <c r="M95" s="188"/>
      <c r="N95" s="188"/>
      <c r="O95" s="189"/>
      <c r="P95" s="10"/>
    </row>
    <row r="96" spans="3:16" ht="15.75" thickBot="1">
      <c r="C96" s="74" t="s">
        <v>73</v>
      </c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10"/>
    </row>
    <row r="97" spans="3:16" ht="15.75" thickBot="1">
      <c r="C97" s="76">
        <v>0</v>
      </c>
      <c r="D97" s="77">
        <v>1</v>
      </c>
      <c r="E97" s="77">
        <v>0.99547564427830859</v>
      </c>
      <c r="F97" s="77">
        <v>0.99095128855661729</v>
      </c>
      <c r="G97" s="77">
        <v>0.986426932834926</v>
      </c>
      <c r="H97" s="77">
        <v>0.98190257711323459</v>
      </c>
      <c r="I97" s="77">
        <v>0.97737822139154318</v>
      </c>
      <c r="J97" s="77">
        <v>0.97285386566985188</v>
      </c>
      <c r="K97" s="77">
        <v>0.96832950994816058</v>
      </c>
      <c r="L97" s="77">
        <v>0.96380515422646917</v>
      </c>
      <c r="M97" s="77">
        <v>0.95928079850477777</v>
      </c>
      <c r="N97" s="77">
        <v>0.95475644278308647</v>
      </c>
      <c r="O97" s="77">
        <v>0.95023208706139517</v>
      </c>
      <c r="P97" s="10"/>
    </row>
    <row r="98" spans="3:16" ht="15.75" thickBot="1">
      <c r="C98" s="76">
        <v>1</v>
      </c>
      <c r="D98" s="77">
        <v>0.94570773133970376</v>
      </c>
      <c r="E98" s="77">
        <v>0.94153620329061805</v>
      </c>
      <c r="F98" s="77">
        <v>0.93736467524153233</v>
      </c>
      <c r="G98" s="77">
        <v>0.93319314719244661</v>
      </c>
      <c r="H98" s="77">
        <v>0.9290216191433609</v>
      </c>
      <c r="I98" s="77">
        <v>0.92485009109427518</v>
      </c>
      <c r="J98" s="77">
        <v>0.92067856304518947</v>
      </c>
      <c r="K98" s="77">
        <v>0.91650703499610364</v>
      </c>
      <c r="L98" s="77">
        <v>0.91233550694701793</v>
      </c>
      <c r="M98" s="77">
        <v>0.90816397889793221</v>
      </c>
      <c r="N98" s="77">
        <v>0.9039924508488465</v>
      </c>
      <c r="O98" s="77">
        <v>0.89982092279976078</v>
      </c>
      <c r="P98" s="10"/>
    </row>
    <row r="99" spans="3:16" ht="15.75" thickBot="1">
      <c r="C99" s="76">
        <v>2</v>
      </c>
      <c r="D99" s="77">
        <v>0.89564939475067507</v>
      </c>
      <c r="E99" s="77">
        <v>0.89179384931101258</v>
      </c>
      <c r="F99" s="77">
        <v>0.88793830387135009</v>
      </c>
      <c r="G99" s="77">
        <v>0.8840827584316876</v>
      </c>
      <c r="H99" s="77">
        <v>0.88022721299202511</v>
      </c>
      <c r="I99" s="77">
        <v>0.87637166755236262</v>
      </c>
      <c r="J99" s="77">
        <v>0.87251612211270013</v>
      </c>
      <c r="K99" s="77">
        <v>0.86866057667303764</v>
      </c>
      <c r="L99" s="77">
        <v>0.86480503123337515</v>
      </c>
      <c r="M99" s="77">
        <v>0.86094948579371267</v>
      </c>
      <c r="N99" s="77">
        <v>0.85709394035405018</v>
      </c>
      <c r="O99" s="77">
        <v>0.85323839491438769</v>
      </c>
      <c r="P99" s="10"/>
    </row>
    <row r="100" spans="3:16" ht="15.75" thickBot="1">
      <c r="C100" s="76">
        <v>3</v>
      </c>
      <c r="D100" s="77">
        <v>0.8493828494747252</v>
      </c>
      <c r="E100" s="77">
        <v>0.84581145081212417</v>
      </c>
      <c r="F100" s="77">
        <v>0.84224005214952324</v>
      </c>
      <c r="G100" s="77">
        <v>0.83866865348692221</v>
      </c>
      <c r="H100" s="77">
        <v>0.83509725482432129</v>
      </c>
      <c r="I100" s="77">
        <v>0.83152585616172026</v>
      </c>
      <c r="J100" s="77">
        <v>0.82795445749911933</v>
      </c>
      <c r="K100" s="77">
        <v>0.8243830588365183</v>
      </c>
      <c r="L100" s="77">
        <v>0.82081166017391727</v>
      </c>
      <c r="M100" s="77">
        <v>0.81724026151131635</v>
      </c>
      <c r="N100" s="77">
        <v>0.81366886284871531</v>
      </c>
      <c r="O100" s="77">
        <v>0.81009746418611439</v>
      </c>
      <c r="P100" s="10"/>
    </row>
    <row r="101" spans="3:16" ht="15.75" thickBot="1">
      <c r="C101" s="76">
        <v>4</v>
      </c>
      <c r="D101" s="77">
        <v>0.80652606552351336</v>
      </c>
      <c r="E101" s="77">
        <v>0.80321115978798441</v>
      </c>
      <c r="F101" s="77">
        <v>0.79989625405245546</v>
      </c>
      <c r="G101" s="77">
        <v>0.7965813483169264</v>
      </c>
      <c r="H101" s="77">
        <v>0.79326644258139745</v>
      </c>
      <c r="I101" s="77">
        <v>0.7899515368458685</v>
      </c>
      <c r="J101" s="77">
        <v>0.78663663111033955</v>
      </c>
      <c r="K101" s="77">
        <v>0.7833217253748106</v>
      </c>
      <c r="L101" s="77">
        <v>0.78000681963928165</v>
      </c>
      <c r="M101" s="77">
        <v>0.7766919139037527</v>
      </c>
      <c r="N101" s="77">
        <v>0.77337700816822363</v>
      </c>
      <c r="O101" s="77">
        <v>0.77006210243269468</v>
      </c>
      <c r="P101" s="10"/>
    </row>
    <row r="102" spans="3:16" ht="15.75" thickBot="1">
      <c r="C102" s="76">
        <v>5</v>
      </c>
      <c r="D102" s="77">
        <v>0.76674719669716573</v>
      </c>
      <c r="E102" s="77">
        <v>0.76366342386491604</v>
      </c>
      <c r="F102" s="77">
        <v>0.76057965103266623</v>
      </c>
      <c r="G102" s="77">
        <v>0.75749587820041653</v>
      </c>
      <c r="H102" s="77">
        <v>0.75441210536816683</v>
      </c>
      <c r="I102" s="77">
        <v>0.75132833253591702</v>
      </c>
      <c r="J102" s="77">
        <v>0.74824455970366732</v>
      </c>
      <c r="K102" s="77">
        <v>0.74516078687141762</v>
      </c>
      <c r="L102" s="77">
        <v>0.74207701403916781</v>
      </c>
      <c r="M102" s="77">
        <v>0.73899324120691812</v>
      </c>
      <c r="N102" s="77">
        <v>0.73590946837466842</v>
      </c>
      <c r="O102" s="77">
        <v>0.73282569554241861</v>
      </c>
      <c r="P102" s="10"/>
    </row>
    <row r="103" spans="3:16" ht="15.75" thickBot="1">
      <c r="C103" s="76">
        <v>6</v>
      </c>
      <c r="D103" s="77">
        <v>0.72974192271016891</v>
      </c>
      <c r="E103" s="77">
        <v>0.72686886525797612</v>
      </c>
      <c r="F103" s="77">
        <v>0.72399580780578343</v>
      </c>
      <c r="G103" s="77">
        <v>0.72112275035359064</v>
      </c>
      <c r="H103" s="77">
        <v>0.71824969290139784</v>
      </c>
      <c r="I103" s="77">
        <v>0.71537663544920516</v>
      </c>
      <c r="J103" s="77">
        <v>0.71250357799701236</v>
      </c>
      <c r="K103" s="77">
        <v>0.70963052054481957</v>
      </c>
      <c r="L103" s="77">
        <v>0.70675746309262688</v>
      </c>
      <c r="M103" s="77">
        <v>0.70388440564043409</v>
      </c>
      <c r="N103" s="77">
        <v>0.70101134818824129</v>
      </c>
      <c r="O103" s="77">
        <v>0.69813829073604861</v>
      </c>
      <c r="P103" s="10"/>
    </row>
    <row r="104" spans="3:16" ht="15.75" thickBot="1">
      <c r="C104" s="76">
        <v>7</v>
      </c>
      <c r="D104" s="77">
        <v>0.69526523328385581</v>
      </c>
      <c r="E104" s="77">
        <v>0.69258361294859194</v>
      </c>
      <c r="F104" s="77">
        <v>0.68990199261332819</v>
      </c>
      <c r="G104" s="77">
        <v>0.68722037227806432</v>
      </c>
      <c r="H104" s="77">
        <v>0.68453875194280045</v>
      </c>
      <c r="I104" s="77">
        <v>0.68185713160753669</v>
      </c>
      <c r="J104" s="77">
        <v>0.67917551127227282</v>
      </c>
      <c r="K104" s="77">
        <v>0.67649389093700896</v>
      </c>
      <c r="L104" s="77">
        <v>0.6738122706017452</v>
      </c>
      <c r="M104" s="77">
        <v>0.67113065026648133</v>
      </c>
      <c r="N104" s="77">
        <v>0.66844902993121746</v>
      </c>
      <c r="O104" s="77">
        <v>0.66576740959595371</v>
      </c>
      <c r="P104" s="10"/>
    </row>
    <row r="105" spans="3:16" ht="15.75" thickBot="1">
      <c r="C105" s="76">
        <v>8</v>
      </c>
      <c r="D105" s="77">
        <v>0.66308578926068984</v>
      </c>
      <c r="E105" s="77">
        <v>0.66057878049722285</v>
      </c>
      <c r="F105" s="77">
        <v>0.65807177173375586</v>
      </c>
      <c r="G105" s="77">
        <v>0.65556476297028898</v>
      </c>
      <c r="H105" s="77">
        <v>0.65305775420682199</v>
      </c>
      <c r="I105" s="77">
        <v>0.65055074544335501</v>
      </c>
      <c r="J105" s="77">
        <v>0.64804373667988802</v>
      </c>
      <c r="K105" s="77">
        <v>0.64553672791642103</v>
      </c>
      <c r="L105" s="77">
        <v>0.64302971915295404</v>
      </c>
      <c r="M105" s="77">
        <v>0.64052271038948705</v>
      </c>
      <c r="N105" s="77">
        <v>0.63801570162602017</v>
      </c>
      <c r="O105" s="77">
        <v>0.63550869286255318</v>
      </c>
      <c r="P105" s="10"/>
    </row>
    <row r="106" spans="3:16" ht="15.75" thickBot="1">
      <c r="C106" s="76">
        <v>9</v>
      </c>
      <c r="D106" s="77">
        <v>0.63300168409908619</v>
      </c>
      <c r="E106" s="77">
        <v>0.63065311929921519</v>
      </c>
      <c r="F106" s="77">
        <v>0.62830455449934419</v>
      </c>
      <c r="G106" s="77">
        <v>0.6259559896994733</v>
      </c>
      <c r="H106" s="77">
        <v>0.6236074248996023</v>
      </c>
      <c r="I106" s="77">
        <v>0.6212588600997313</v>
      </c>
      <c r="J106" s="77">
        <v>0.6189102952998603</v>
      </c>
      <c r="K106" s="77">
        <v>0.6165617304999893</v>
      </c>
      <c r="L106" s="77">
        <v>0.6142131657001183</v>
      </c>
      <c r="M106" s="77">
        <v>0.6118646009002473</v>
      </c>
      <c r="N106" s="77">
        <v>0.60951603610037641</v>
      </c>
      <c r="O106" s="77">
        <v>0.60716747130050541</v>
      </c>
      <c r="P106" s="10"/>
    </row>
    <row r="107" spans="3:16" ht="15.75" thickBot="1">
      <c r="C107" s="76">
        <v>10</v>
      </c>
      <c r="D107" s="77">
        <v>0.60481890650063441</v>
      </c>
      <c r="E107" s="77">
        <v>0.60261518273490677</v>
      </c>
      <c r="F107" s="77">
        <v>0.60041145896917913</v>
      </c>
      <c r="G107" s="77">
        <v>0.59820773520345139</v>
      </c>
      <c r="H107" s="77">
        <v>0.59600401143772375</v>
      </c>
      <c r="I107" s="77">
        <v>0.59380028767199611</v>
      </c>
      <c r="J107" s="77">
        <v>0.59159656390626836</v>
      </c>
      <c r="K107" s="77">
        <v>0.58939284014054072</v>
      </c>
      <c r="L107" s="77">
        <v>0.58718911637481308</v>
      </c>
      <c r="M107" s="77">
        <v>0.58498539260908544</v>
      </c>
      <c r="N107" s="77">
        <v>0.5827816688433578</v>
      </c>
      <c r="O107" s="77">
        <v>0.58057794507763005</v>
      </c>
      <c r="P107" s="10"/>
    </row>
    <row r="108" spans="3:16" ht="15.75" thickBot="1">
      <c r="C108" s="76">
        <v>11</v>
      </c>
      <c r="D108" s="77">
        <v>0.57837422131190241</v>
      </c>
      <c r="E108" s="77">
        <v>0.57630315970114199</v>
      </c>
      <c r="F108" s="77">
        <v>0.57423209809038156</v>
      </c>
      <c r="G108" s="77">
        <v>0.57216103647962124</v>
      </c>
      <c r="H108" s="77">
        <v>0.57008997486886082</v>
      </c>
      <c r="I108" s="77">
        <v>0.56801891325810039</v>
      </c>
      <c r="J108" s="77">
        <v>0.56594785164733996</v>
      </c>
      <c r="K108" s="77">
        <v>0.56387679003657953</v>
      </c>
      <c r="L108" s="77">
        <v>0.56180572842581911</v>
      </c>
      <c r="M108" s="77">
        <v>0.55973466681505868</v>
      </c>
      <c r="N108" s="77">
        <v>0.55766360520429836</v>
      </c>
      <c r="O108" s="77">
        <v>0.55559254359353794</v>
      </c>
      <c r="P108" s="10"/>
    </row>
    <row r="109" spans="3:16" ht="15.75" thickBot="1">
      <c r="C109" s="76">
        <v>12</v>
      </c>
      <c r="D109" s="77">
        <v>0.55352148198277751</v>
      </c>
      <c r="E109" s="77">
        <v>0.55157217052290997</v>
      </c>
      <c r="F109" s="77">
        <v>0.54962285906304253</v>
      </c>
      <c r="G109" s="77">
        <v>0.54767354760317499</v>
      </c>
      <c r="H109" s="77">
        <v>0.54572423614330756</v>
      </c>
      <c r="I109" s="77">
        <v>0.54377492468344002</v>
      </c>
      <c r="J109" s="77">
        <v>0.54182561322357259</v>
      </c>
      <c r="K109" s="77">
        <v>0.53987630176370505</v>
      </c>
      <c r="L109" s="77">
        <v>0.5379269903038375</v>
      </c>
      <c r="M109" s="77">
        <v>0.53597767884397007</v>
      </c>
      <c r="N109" s="77">
        <v>0.53402836738410253</v>
      </c>
      <c r="O109" s="77">
        <v>0.5320790559242351</v>
      </c>
      <c r="P109" s="10"/>
    </row>
    <row r="110" spans="3:16">
      <c r="C110" s="78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</row>
    <row r="111" spans="3:16">
      <c r="C111" s="53" t="s">
        <v>148</v>
      </c>
      <c r="D111" s="53" t="s">
        <v>149</v>
      </c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</row>
    <row r="112" spans="3:16">
      <c r="C112" s="53" t="s">
        <v>150</v>
      </c>
      <c r="D112" s="53" t="s">
        <v>151</v>
      </c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</row>
    <row r="113" spans="3:16">
      <c r="C113" s="79"/>
      <c r="D113" s="79" t="s">
        <v>152</v>
      </c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</row>
    <row r="114" spans="3:16"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</row>
    <row r="151" spans="3:15">
      <c r="C151" s="54" t="s">
        <v>155</v>
      </c>
      <c r="E151" s="54" t="s">
        <v>156</v>
      </c>
    </row>
    <row r="152" spans="3:15" s="54" customFormat="1">
      <c r="E152" s="54" t="s">
        <v>157</v>
      </c>
    </row>
    <row r="153" spans="3:15" ht="15.75" thickBot="1"/>
    <row r="154" spans="3:15" ht="15.75" thickBot="1">
      <c r="C154" s="193" t="s">
        <v>147</v>
      </c>
      <c r="D154" s="194"/>
      <c r="E154" s="194"/>
      <c r="F154" s="194"/>
      <c r="G154" s="194"/>
      <c r="H154" s="194"/>
      <c r="I154" s="194"/>
      <c r="J154" s="194"/>
      <c r="K154" s="194"/>
      <c r="L154" s="194"/>
      <c r="M154" s="194"/>
      <c r="N154" s="194"/>
      <c r="O154" s="195"/>
    </row>
    <row r="155" spans="3:15" ht="15.75" thickBot="1">
      <c r="C155" s="47" t="s">
        <v>120</v>
      </c>
      <c r="D155" s="92">
        <v>0</v>
      </c>
      <c r="E155" s="92">
        <v>1</v>
      </c>
      <c r="F155" s="92">
        <v>2</v>
      </c>
      <c r="G155" s="92">
        <v>3</v>
      </c>
      <c r="H155" s="92">
        <v>4</v>
      </c>
      <c r="I155" s="92">
        <v>5</v>
      </c>
      <c r="J155" s="92">
        <v>6</v>
      </c>
      <c r="K155" s="92">
        <v>7</v>
      </c>
      <c r="L155" s="92">
        <v>8</v>
      </c>
      <c r="M155" s="92">
        <v>9</v>
      </c>
      <c r="N155" s="92">
        <v>10</v>
      </c>
      <c r="O155" s="92">
        <v>11</v>
      </c>
    </row>
    <row r="156" spans="3:15" ht="15.75" thickBot="1">
      <c r="C156" s="91">
        <v>20</v>
      </c>
      <c r="D156" s="50">
        <v>0.158</v>
      </c>
      <c r="E156" s="50">
        <v>0.159</v>
      </c>
      <c r="F156" s="50">
        <v>0.159</v>
      </c>
      <c r="G156" s="50">
        <v>0.159</v>
      </c>
      <c r="H156" s="50">
        <v>0.16</v>
      </c>
      <c r="I156" s="50">
        <v>0.16</v>
      </c>
      <c r="J156" s="50">
        <v>0.161</v>
      </c>
      <c r="K156" s="50">
        <v>0.161</v>
      </c>
      <c r="L156" s="50">
        <v>0.16200000000000001</v>
      </c>
      <c r="M156" s="50">
        <v>0.16200000000000001</v>
      </c>
      <c r="N156" s="90">
        <v>0.16300000000000001</v>
      </c>
      <c r="O156" s="50">
        <v>0.16300000000000001</v>
      </c>
    </row>
    <row r="157" spans="3:15" ht="15.75" thickBot="1">
      <c r="C157" s="91">
        <v>21</v>
      </c>
      <c r="D157" s="50">
        <v>0.16400000000000001</v>
      </c>
      <c r="E157" s="50">
        <v>0.16400000000000001</v>
      </c>
      <c r="F157" s="50">
        <v>0.16500000000000001</v>
      </c>
      <c r="G157" s="50">
        <v>0.16500000000000001</v>
      </c>
      <c r="H157" s="50">
        <v>0.16500000000000001</v>
      </c>
      <c r="I157" s="50">
        <v>0.16600000000000001</v>
      </c>
      <c r="J157" s="50">
        <v>0.16600000000000001</v>
      </c>
      <c r="K157" s="50">
        <v>0.16700000000000001</v>
      </c>
      <c r="L157" s="50">
        <v>0.16700000000000001</v>
      </c>
      <c r="M157" s="50">
        <v>0.16800000000000001</v>
      </c>
      <c r="N157" s="50">
        <v>0.16800000000000001</v>
      </c>
      <c r="O157" s="50">
        <v>0.16900000000000001</v>
      </c>
    </row>
    <row r="158" spans="3:15" ht="15.75" thickBot="1">
      <c r="C158" s="91">
        <v>22</v>
      </c>
      <c r="D158" s="50">
        <v>0.16900000000000001</v>
      </c>
      <c r="E158" s="50">
        <v>0.17</v>
      </c>
      <c r="F158" s="50">
        <v>0.17</v>
      </c>
      <c r="G158" s="50">
        <v>0.17100000000000001</v>
      </c>
      <c r="H158" s="50">
        <v>0.17100000000000001</v>
      </c>
      <c r="I158" s="50">
        <v>0.17199999999999999</v>
      </c>
      <c r="J158" s="50">
        <v>0.17199999999999999</v>
      </c>
      <c r="K158" s="50">
        <v>0.17299999999999999</v>
      </c>
      <c r="L158" s="50">
        <v>0.17299999999999999</v>
      </c>
      <c r="M158" s="50">
        <v>0.17399999999999999</v>
      </c>
      <c r="N158" s="90">
        <v>0.17399999999999999</v>
      </c>
      <c r="O158" s="50">
        <v>0.17499999999999999</v>
      </c>
    </row>
    <row r="159" spans="3:15" ht="15.75" thickBot="1">
      <c r="C159" s="91">
        <v>23</v>
      </c>
      <c r="D159" s="50">
        <v>0.17499999999999999</v>
      </c>
      <c r="E159" s="50">
        <v>0.17599999999999999</v>
      </c>
      <c r="F159" s="50">
        <v>0.17599999999999999</v>
      </c>
      <c r="G159" s="50">
        <v>0.1077</v>
      </c>
      <c r="H159" s="90">
        <v>0.17699999999999999</v>
      </c>
      <c r="I159" s="50">
        <v>0.17799999999999999</v>
      </c>
      <c r="J159" s="50">
        <v>0.17799999999999999</v>
      </c>
      <c r="K159" s="50">
        <v>0.17899999999999999</v>
      </c>
      <c r="L159" s="50">
        <v>0.17899999999999999</v>
      </c>
      <c r="M159" s="50">
        <v>0.18</v>
      </c>
      <c r="N159" s="50">
        <v>0.18</v>
      </c>
      <c r="O159" s="50">
        <v>0.18099999999999999</v>
      </c>
    </row>
    <row r="160" spans="3:15" ht="15.75" thickBot="1">
      <c r="C160" s="91">
        <v>24</v>
      </c>
      <c r="D160" s="50">
        <v>0.18099999999999999</v>
      </c>
      <c r="E160" s="50">
        <v>0.182</v>
      </c>
      <c r="F160" s="50">
        <v>0.182</v>
      </c>
      <c r="G160" s="50">
        <v>0.183</v>
      </c>
      <c r="H160" s="50">
        <v>0.184</v>
      </c>
      <c r="I160" s="50">
        <v>0.184</v>
      </c>
      <c r="J160" s="50">
        <v>0.185</v>
      </c>
      <c r="K160" s="50">
        <v>0.185</v>
      </c>
      <c r="L160" s="50">
        <v>0.186</v>
      </c>
      <c r="M160" s="50">
        <v>0.186</v>
      </c>
      <c r="N160" s="50">
        <v>0.187</v>
      </c>
      <c r="O160" s="50">
        <v>0.187</v>
      </c>
    </row>
    <row r="161" spans="3:15" ht="15.75" thickBot="1">
      <c r="C161" s="91">
        <v>25</v>
      </c>
      <c r="D161" s="50">
        <v>0.188</v>
      </c>
      <c r="E161" s="50">
        <v>0.188</v>
      </c>
      <c r="F161" s="50">
        <v>0.189</v>
      </c>
      <c r="G161" s="50">
        <v>0.189</v>
      </c>
      <c r="H161" s="50">
        <v>0.19</v>
      </c>
      <c r="I161" s="50">
        <v>0.191</v>
      </c>
      <c r="J161" s="50">
        <v>0.191</v>
      </c>
      <c r="K161" s="50">
        <v>0.192</v>
      </c>
      <c r="L161" s="50">
        <v>0.192</v>
      </c>
      <c r="M161" s="50">
        <v>0.193</v>
      </c>
      <c r="N161" s="50">
        <v>0.193</v>
      </c>
      <c r="O161" s="50">
        <v>0.19400000000000001</v>
      </c>
    </row>
    <row r="162" spans="3:15" ht="15.75" thickBot="1">
      <c r="C162" s="91">
        <v>26</v>
      </c>
      <c r="D162" s="50">
        <v>0.19500000000000001</v>
      </c>
      <c r="E162" s="50">
        <v>0.19500000000000001</v>
      </c>
      <c r="F162" s="50">
        <v>0.19600000000000001</v>
      </c>
      <c r="G162" s="50">
        <v>0.19600000000000001</v>
      </c>
      <c r="H162" s="50">
        <v>0.19700000000000001</v>
      </c>
      <c r="I162" s="50">
        <v>0.19700000000000001</v>
      </c>
      <c r="J162" s="50">
        <v>0.19800000000000001</v>
      </c>
      <c r="K162" s="50">
        <v>0.19900000000000001</v>
      </c>
      <c r="L162" s="50">
        <v>0.19900000000000001</v>
      </c>
      <c r="M162" s="50">
        <v>0.2</v>
      </c>
      <c r="N162" s="50">
        <v>0.2</v>
      </c>
      <c r="O162" s="50">
        <v>0.20100000000000001</v>
      </c>
    </row>
    <row r="163" spans="3:15" ht="15.75" thickBot="1">
      <c r="C163" s="91">
        <v>27</v>
      </c>
      <c r="D163" s="50">
        <v>0.20100000000000001</v>
      </c>
      <c r="E163" s="50">
        <v>0.20200000000000001</v>
      </c>
      <c r="F163" s="50">
        <v>0.20300000000000001</v>
      </c>
      <c r="G163" s="50">
        <v>0.20300000000000001</v>
      </c>
      <c r="H163" s="50">
        <v>0.20399999999999999</v>
      </c>
      <c r="I163" s="50">
        <v>0.20499999999999999</v>
      </c>
      <c r="J163" s="50">
        <v>0.20499999999999999</v>
      </c>
      <c r="K163" s="50">
        <v>0.20599999999999999</v>
      </c>
      <c r="L163" s="50">
        <v>0.20599999999999999</v>
      </c>
      <c r="M163" s="50">
        <v>0.20699999999999999</v>
      </c>
      <c r="N163" s="50">
        <v>0.20799999999999999</v>
      </c>
      <c r="O163" s="50">
        <v>0.20799999999999999</v>
      </c>
    </row>
    <row r="164" spans="3:15" ht="15.75" thickBot="1">
      <c r="C164" s="91">
        <v>28</v>
      </c>
      <c r="D164" s="50">
        <v>0.20899999999999999</v>
      </c>
      <c r="E164" s="50">
        <v>0.20899999999999999</v>
      </c>
      <c r="F164" s="50">
        <v>0.21</v>
      </c>
      <c r="G164" s="50">
        <v>0.21099999999999999</v>
      </c>
      <c r="H164" s="50">
        <v>0.21099999999999999</v>
      </c>
      <c r="I164" s="50">
        <v>0.21199999999999999</v>
      </c>
      <c r="J164" s="50">
        <v>0.21299999999999999</v>
      </c>
      <c r="K164" s="50">
        <v>0.21299999999999999</v>
      </c>
      <c r="L164" s="50">
        <v>0.214</v>
      </c>
      <c r="M164" s="50">
        <v>0.214</v>
      </c>
      <c r="N164" s="50">
        <v>0.215</v>
      </c>
      <c r="O164" s="50">
        <v>0.216</v>
      </c>
    </row>
    <row r="165" spans="3:15" ht="15.75" thickBot="1">
      <c r="C165" s="91">
        <v>29</v>
      </c>
      <c r="D165" s="50">
        <v>0.216</v>
      </c>
      <c r="E165" s="50">
        <v>0.217</v>
      </c>
      <c r="F165" s="50">
        <v>0.218</v>
      </c>
      <c r="G165" s="50">
        <v>0.218</v>
      </c>
      <c r="H165" s="50">
        <v>0.219</v>
      </c>
      <c r="I165" s="50">
        <v>0.22</v>
      </c>
      <c r="J165" s="50">
        <v>0.22</v>
      </c>
      <c r="K165" s="50">
        <v>0.221</v>
      </c>
      <c r="L165" s="50">
        <v>0.222</v>
      </c>
      <c r="M165" s="90">
        <v>0.222</v>
      </c>
      <c r="N165" s="50">
        <v>0.223</v>
      </c>
      <c r="O165" s="50">
        <v>0.224</v>
      </c>
    </row>
    <row r="166" spans="3:15" ht="15.75" thickBot="1">
      <c r="C166" s="91">
        <v>30</v>
      </c>
      <c r="D166" s="50">
        <v>0.224</v>
      </c>
      <c r="E166" s="50">
        <v>0.22500000000000001</v>
      </c>
      <c r="F166" s="50">
        <v>0.22600000000000001</v>
      </c>
      <c r="G166" s="50">
        <v>0.22600000000000001</v>
      </c>
      <c r="H166" s="50">
        <v>0.22700000000000001</v>
      </c>
      <c r="I166" s="50">
        <v>0.22800000000000001</v>
      </c>
      <c r="J166" s="50">
        <v>0.22800000000000001</v>
      </c>
      <c r="K166" s="50">
        <v>0.22900000000000001</v>
      </c>
      <c r="L166" s="50">
        <v>0.23</v>
      </c>
      <c r="M166" s="50">
        <v>0.23</v>
      </c>
      <c r="N166" s="50">
        <v>0.23100000000000001</v>
      </c>
      <c r="O166" s="50">
        <v>0.23200000000000001</v>
      </c>
    </row>
    <row r="167" spans="3:15" ht="15.75" thickBot="1">
      <c r="C167" s="91">
        <v>31</v>
      </c>
      <c r="D167" s="50">
        <v>0.23200000000000001</v>
      </c>
      <c r="E167" s="50">
        <v>0.23300000000000001</v>
      </c>
      <c r="F167" s="50">
        <v>0.23400000000000001</v>
      </c>
      <c r="G167" s="50">
        <v>0.23499999999999999</v>
      </c>
      <c r="H167" s="50">
        <v>0.23499999999999999</v>
      </c>
      <c r="I167" s="50">
        <v>0.23599999999999999</v>
      </c>
      <c r="J167" s="50">
        <v>0.23699999999999999</v>
      </c>
      <c r="K167" s="50">
        <v>0.23699999999999999</v>
      </c>
      <c r="L167" s="50">
        <v>0.23799999999999999</v>
      </c>
      <c r="M167" s="50">
        <v>0.23899999999999999</v>
      </c>
      <c r="N167" s="50">
        <v>0.24</v>
      </c>
      <c r="O167" s="50">
        <v>0.24</v>
      </c>
    </row>
    <row r="168" spans="3:15" ht="15.75" thickBot="1">
      <c r="C168" s="91">
        <v>32</v>
      </c>
      <c r="D168" s="50">
        <v>0.24099999999999999</v>
      </c>
      <c r="E168" s="50">
        <v>0.24199999999999999</v>
      </c>
      <c r="F168" s="50">
        <v>0.24199999999999999</v>
      </c>
      <c r="G168" s="50">
        <v>0.24299999999999999</v>
      </c>
      <c r="H168" s="50">
        <v>0.24399999999999999</v>
      </c>
      <c r="I168" s="50">
        <v>0.245</v>
      </c>
      <c r="J168" s="50">
        <v>0.245</v>
      </c>
      <c r="K168" s="50">
        <v>0.246</v>
      </c>
      <c r="L168" s="50">
        <v>0.247</v>
      </c>
      <c r="M168" s="50">
        <v>0.248</v>
      </c>
      <c r="N168" s="50">
        <v>0.248</v>
      </c>
      <c r="O168" s="50">
        <v>0.249</v>
      </c>
    </row>
    <row r="169" spans="3:15" ht="15.75" thickBot="1">
      <c r="C169" s="91">
        <v>33</v>
      </c>
      <c r="D169" s="50">
        <v>0.25</v>
      </c>
      <c r="E169" s="50">
        <v>0.251</v>
      </c>
      <c r="F169" s="50">
        <v>0.252</v>
      </c>
      <c r="G169" s="50">
        <v>0.252</v>
      </c>
      <c r="H169" s="50">
        <v>0.253</v>
      </c>
      <c r="I169" s="50">
        <v>0.254</v>
      </c>
      <c r="J169" s="50">
        <v>0.255</v>
      </c>
      <c r="K169" s="50">
        <v>0.255</v>
      </c>
      <c r="L169" s="50">
        <v>0.25600000000000001</v>
      </c>
      <c r="M169" s="50">
        <v>0.25700000000000001</v>
      </c>
      <c r="N169" s="50">
        <v>0.25800000000000001</v>
      </c>
      <c r="O169" s="50">
        <v>0.25900000000000001</v>
      </c>
    </row>
    <row r="170" spans="3:15" ht="15.75" thickBot="1">
      <c r="C170" s="91">
        <v>34</v>
      </c>
      <c r="D170" s="50">
        <v>0.25900000000000001</v>
      </c>
      <c r="E170" s="50">
        <v>0.26</v>
      </c>
      <c r="F170" s="50">
        <v>0.26100000000000001</v>
      </c>
      <c r="G170" s="50">
        <v>0.26200000000000001</v>
      </c>
      <c r="H170" s="50">
        <v>0.26300000000000001</v>
      </c>
      <c r="I170" s="50">
        <v>0.26300000000000001</v>
      </c>
      <c r="J170" s="50">
        <v>0.26400000000000001</v>
      </c>
      <c r="K170" s="50">
        <v>0.26500000000000001</v>
      </c>
      <c r="L170" s="50">
        <v>0.26600000000000001</v>
      </c>
      <c r="M170" s="50">
        <v>0.26700000000000002</v>
      </c>
      <c r="N170" s="50">
        <v>0.26700000000000002</v>
      </c>
      <c r="O170" s="50">
        <v>0.26800000000000002</v>
      </c>
    </row>
    <row r="171" spans="3:15" ht="15.75" thickBot="1">
      <c r="C171" s="91">
        <v>35</v>
      </c>
      <c r="D171" s="50">
        <v>0.26900000000000002</v>
      </c>
      <c r="E171" s="50">
        <v>0.27</v>
      </c>
      <c r="F171" s="50">
        <v>0.27100000000000002</v>
      </c>
      <c r="G171" s="50">
        <v>0.27200000000000002</v>
      </c>
      <c r="H171" s="50">
        <v>0.27300000000000002</v>
      </c>
      <c r="I171" s="90">
        <v>0.27300000000000002</v>
      </c>
      <c r="J171" s="50">
        <v>0.27400000000000002</v>
      </c>
      <c r="K171" s="50">
        <v>0.27500000000000002</v>
      </c>
      <c r="L171" s="50">
        <v>0.27600000000000002</v>
      </c>
      <c r="M171" s="50">
        <v>0.27700000000000002</v>
      </c>
      <c r="N171" s="50">
        <v>0.27800000000000002</v>
      </c>
      <c r="O171" s="50">
        <v>0.27800000000000002</v>
      </c>
    </row>
    <row r="172" spans="3:15" ht="15.75" thickBot="1">
      <c r="C172" s="91">
        <v>36</v>
      </c>
      <c r="D172" s="50">
        <v>0.27900000000000003</v>
      </c>
      <c r="E172" s="50">
        <v>0.28000000000000003</v>
      </c>
      <c r="F172" s="50">
        <v>0.28100000000000003</v>
      </c>
      <c r="G172" s="50">
        <v>0.28199999999999997</v>
      </c>
      <c r="H172" s="50">
        <v>0.28299999999999997</v>
      </c>
      <c r="I172" s="50">
        <v>0.28399999999999997</v>
      </c>
      <c r="J172" s="50">
        <v>0.28499999999999998</v>
      </c>
      <c r="K172" s="50">
        <v>0.28599999999999998</v>
      </c>
      <c r="L172" s="50">
        <v>0.28599999999999998</v>
      </c>
      <c r="M172" s="50">
        <v>0.28699999999999998</v>
      </c>
      <c r="N172" s="50">
        <v>0.28799999999999998</v>
      </c>
      <c r="O172" s="50">
        <v>0.28899999999999998</v>
      </c>
    </row>
    <row r="173" spans="3:15" ht="15.75" thickBot="1">
      <c r="C173" s="91">
        <v>37</v>
      </c>
      <c r="D173" s="50">
        <v>0.28999999999999998</v>
      </c>
      <c r="E173" s="50">
        <v>0.29099999999999998</v>
      </c>
      <c r="F173" s="50">
        <v>0.29199999999999998</v>
      </c>
      <c r="G173" s="50">
        <v>0.29299999999999998</v>
      </c>
      <c r="H173" s="50">
        <v>0.29399999999999998</v>
      </c>
      <c r="I173" s="50">
        <v>0.29499999999999998</v>
      </c>
      <c r="J173" s="50">
        <v>0.29599999999999999</v>
      </c>
      <c r="K173" s="50">
        <v>0.29699999999999999</v>
      </c>
      <c r="L173" s="50">
        <v>0.29699999999999999</v>
      </c>
      <c r="M173" s="50">
        <v>0.29799999999999999</v>
      </c>
      <c r="N173" s="50">
        <v>0.29899999999999999</v>
      </c>
      <c r="O173" s="50">
        <v>0.3</v>
      </c>
    </row>
    <row r="174" spans="3:15" ht="15.75" thickBot="1">
      <c r="C174" s="91">
        <v>38</v>
      </c>
      <c r="D174" s="50">
        <v>0.30099999999999999</v>
      </c>
      <c r="E174" s="50">
        <v>0.30199999999999999</v>
      </c>
      <c r="F174" s="50">
        <v>0.30299999999999999</v>
      </c>
      <c r="G174" s="50">
        <v>0.30399999999999999</v>
      </c>
      <c r="H174" s="50">
        <v>0.30499999999999999</v>
      </c>
      <c r="I174" s="50">
        <v>0.30599999999999999</v>
      </c>
      <c r="J174" s="50">
        <v>0.307</v>
      </c>
      <c r="K174" s="50">
        <v>0.308</v>
      </c>
      <c r="L174" s="50">
        <v>0.309</v>
      </c>
      <c r="M174" s="50">
        <v>0.31</v>
      </c>
      <c r="N174" s="50">
        <v>0.311</v>
      </c>
      <c r="O174" s="50">
        <v>0.312</v>
      </c>
    </row>
    <row r="175" spans="3:15" ht="15.75" thickBot="1">
      <c r="C175" s="91">
        <v>39</v>
      </c>
      <c r="D175" s="50">
        <v>0.313</v>
      </c>
      <c r="E175" s="50">
        <v>0.314</v>
      </c>
      <c r="F175" s="50">
        <v>0.315</v>
      </c>
      <c r="G175" s="50">
        <v>0.31159999999999999</v>
      </c>
      <c r="H175" s="50">
        <v>0.317</v>
      </c>
      <c r="I175" s="50">
        <v>0.318</v>
      </c>
      <c r="J175" s="50">
        <v>0.31900000000000001</v>
      </c>
      <c r="K175" s="50">
        <v>0.32</v>
      </c>
      <c r="L175" s="50">
        <v>0.32100000000000001</v>
      </c>
      <c r="M175" s="50">
        <v>0.32200000000000001</v>
      </c>
      <c r="N175" s="50">
        <v>0.32300000000000001</v>
      </c>
      <c r="O175" s="50">
        <v>0.32400000000000001</v>
      </c>
    </row>
    <row r="176" spans="3:15" ht="15.75" thickBot="1">
      <c r="C176" s="91">
        <v>40</v>
      </c>
      <c r="D176" s="50">
        <v>0.32500000000000001</v>
      </c>
      <c r="E176" s="50">
        <v>0.32600000000000001</v>
      </c>
      <c r="F176" s="50">
        <v>0.32700000000000001</v>
      </c>
      <c r="G176" s="50">
        <v>0.32800000000000001</v>
      </c>
      <c r="H176" s="50">
        <v>0.32900000000000001</v>
      </c>
      <c r="I176" s="50">
        <v>0.33100000000000002</v>
      </c>
      <c r="J176" s="50">
        <v>0.33200000000000002</v>
      </c>
      <c r="K176" s="50">
        <v>0.33300000000000002</v>
      </c>
      <c r="L176" s="50">
        <v>0.33400000000000002</v>
      </c>
      <c r="M176" s="50">
        <v>0.33500000000000002</v>
      </c>
      <c r="N176" s="50">
        <v>0.33600000000000002</v>
      </c>
      <c r="O176" s="50">
        <v>0.33700000000000002</v>
      </c>
    </row>
    <row r="177" spans="3:15" ht="15.75" thickBot="1">
      <c r="C177" s="91">
        <v>41</v>
      </c>
      <c r="D177" s="50">
        <v>0.33800000000000002</v>
      </c>
      <c r="E177" s="50">
        <v>0.33900000000000002</v>
      </c>
      <c r="F177" s="50">
        <v>0.34</v>
      </c>
      <c r="G177" s="50">
        <v>0.34100000000000003</v>
      </c>
      <c r="H177" s="50">
        <v>0.34300000000000003</v>
      </c>
      <c r="I177" s="50">
        <v>0.34399999999999997</v>
      </c>
      <c r="J177" s="50">
        <v>0.34499999999999997</v>
      </c>
      <c r="K177" s="50">
        <v>0.34599999999999997</v>
      </c>
      <c r="L177" s="50">
        <v>0.34699999999999998</v>
      </c>
      <c r="M177" s="50">
        <v>0.34799999999999998</v>
      </c>
      <c r="N177" s="50">
        <v>0.34899999999999998</v>
      </c>
      <c r="O177" s="50">
        <v>0.35</v>
      </c>
    </row>
    <row r="178" spans="3:15" ht="15.75" thickBot="1">
      <c r="C178" s="91">
        <v>42</v>
      </c>
      <c r="D178" s="50">
        <v>0.35199999999999998</v>
      </c>
      <c r="E178" s="50">
        <v>0.35299999999999998</v>
      </c>
      <c r="F178" s="50">
        <v>0.35399999999999998</v>
      </c>
      <c r="G178" s="50">
        <v>0.35499999999999998</v>
      </c>
      <c r="H178" s="50">
        <v>0.35599999999999998</v>
      </c>
      <c r="I178" s="50">
        <v>0.35699999999999998</v>
      </c>
      <c r="J178" s="50">
        <v>0.35899999999999999</v>
      </c>
      <c r="K178" s="50">
        <v>0.36</v>
      </c>
      <c r="L178" s="50">
        <v>0.36099999999999999</v>
      </c>
      <c r="M178" s="50">
        <v>0.36199999999999999</v>
      </c>
      <c r="N178" s="50">
        <v>0.36299999999999999</v>
      </c>
      <c r="O178" s="50">
        <v>0.36499999999999999</v>
      </c>
    </row>
    <row r="179" spans="3:15" ht="15.75" thickBot="1">
      <c r="C179" s="91">
        <v>43</v>
      </c>
      <c r="D179" s="50">
        <v>0.36599999999999999</v>
      </c>
      <c r="E179" s="50">
        <v>0.36699999999999999</v>
      </c>
      <c r="F179" s="50">
        <v>0.36799999999999999</v>
      </c>
      <c r="G179" s="50">
        <v>0.36899999999999999</v>
      </c>
      <c r="H179" s="50">
        <v>0.371</v>
      </c>
      <c r="I179" s="50">
        <v>0.372</v>
      </c>
      <c r="J179" s="50">
        <v>0.373</v>
      </c>
      <c r="K179" s="50">
        <v>0.374</v>
      </c>
      <c r="L179" s="50">
        <v>0.376</v>
      </c>
      <c r="M179" s="50">
        <v>0.377</v>
      </c>
      <c r="N179" s="50">
        <v>0.378</v>
      </c>
      <c r="O179" s="50">
        <v>0.379</v>
      </c>
    </row>
    <row r="180" spans="3:15" ht="15.75" thickBot="1">
      <c r="C180" s="91">
        <v>44</v>
      </c>
      <c r="D180" s="50">
        <v>0.38100000000000001</v>
      </c>
      <c r="E180" s="50">
        <v>0.38200000000000001</v>
      </c>
      <c r="F180" s="50">
        <v>0.38300000000000001</v>
      </c>
      <c r="G180" s="50">
        <v>0.38500000000000001</v>
      </c>
      <c r="H180" s="50">
        <v>0.38600000000000001</v>
      </c>
      <c r="I180" s="50">
        <v>0.38700000000000001</v>
      </c>
      <c r="J180" s="50">
        <v>0.38800000000000001</v>
      </c>
      <c r="K180" s="50">
        <v>0.39</v>
      </c>
      <c r="L180" s="50">
        <v>0.39100000000000001</v>
      </c>
      <c r="M180" s="50">
        <v>0.39200000000000002</v>
      </c>
      <c r="N180" s="50">
        <v>0.39400000000000002</v>
      </c>
      <c r="O180" s="50">
        <v>0.39500000000000002</v>
      </c>
    </row>
    <row r="181" spans="3:15" ht="15.75" thickBot="1">
      <c r="C181" s="91">
        <v>45</v>
      </c>
      <c r="D181" s="50">
        <v>0.39600000000000002</v>
      </c>
      <c r="E181" s="50">
        <v>0.39800000000000002</v>
      </c>
      <c r="F181" s="50">
        <v>0.39900000000000002</v>
      </c>
      <c r="G181" s="50">
        <v>0.4</v>
      </c>
      <c r="H181" s="50">
        <v>0.40200000000000002</v>
      </c>
      <c r="I181" s="50">
        <v>0.40300000000000002</v>
      </c>
      <c r="J181" s="50">
        <v>0.40400000000000003</v>
      </c>
      <c r="K181" s="50">
        <v>0.40600000000000003</v>
      </c>
      <c r="L181" s="50">
        <v>0.40699999999999997</v>
      </c>
      <c r="M181" s="50">
        <v>0.40899999999999997</v>
      </c>
      <c r="N181" s="50">
        <v>0.41</v>
      </c>
      <c r="O181" s="50">
        <v>0.41099999999999998</v>
      </c>
    </row>
    <row r="182" spans="3:15" ht="15.75" thickBot="1">
      <c r="C182" s="91">
        <v>46</v>
      </c>
      <c r="D182" s="50">
        <v>0.41299999999999998</v>
      </c>
      <c r="E182" s="50">
        <v>0.41399999999999998</v>
      </c>
      <c r="F182" s="50">
        <v>0.41599999999999998</v>
      </c>
      <c r="G182" s="50">
        <v>0.41699999999999998</v>
      </c>
      <c r="H182" s="50">
        <v>0.41899999999999998</v>
      </c>
      <c r="I182" s="50">
        <v>0.42</v>
      </c>
      <c r="J182" s="50">
        <v>0.42099999999999999</v>
      </c>
      <c r="K182" s="50">
        <v>0.42299999999999999</v>
      </c>
      <c r="L182" s="50">
        <v>0.42399999999999999</v>
      </c>
      <c r="M182" s="50">
        <v>0.42599999999999999</v>
      </c>
      <c r="N182" s="50">
        <v>0.42699999999999999</v>
      </c>
      <c r="O182" s="50">
        <v>0.42899999999999999</v>
      </c>
    </row>
    <row r="183" spans="3:15" ht="15.75" thickBot="1">
      <c r="C183" s="91">
        <v>47</v>
      </c>
      <c r="D183" s="50">
        <v>0.43</v>
      </c>
      <c r="E183" s="50">
        <v>0.432</v>
      </c>
      <c r="F183" s="50">
        <v>0.433</v>
      </c>
      <c r="G183" s="50">
        <v>0.435</v>
      </c>
      <c r="H183" s="50">
        <v>0.436</v>
      </c>
      <c r="I183" s="50">
        <v>0.438</v>
      </c>
      <c r="J183" s="50">
        <v>0.439</v>
      </c>
      <c r="K183" s="50">
        <v>0.441</v>
      </c>
      <c r="L183" s="50">
        <v>0.442</v>
      </c>
      <c r="M183" s="50">
        <v>0.44400000000000001</v>
      </c>
      <c r="N183" s="50">
        <v>0.44500000000000001</v>
      </c>
      <c r="O183" s="50">
        <v>0.44700000000000001</v>
      </c>
    </row>
    <row r="184" spans="3:15" ht="15.75" thickBot="1">
      <c r="C184" s="91">
        <v>48</v>
      </c>
      <c r="D184" s="50">
        <v>0.44800000000000001</v>
      </c>
      <c r="E184" s="50">
        <v>0.45</v>
      </c>
      <c r="F184" s="50">
        <v>0.45200000000000001</v>
      </c>
      <c r="G184" s="50">
        <v>0.45300000000000001</v>
      </c>
      <c r="H184" s="50">
        <v>0.45500000000000002</v>
      </c>
      <c r="I184" s="50">
        <v>0.45600000000000002</v>
      </c>
      <c r="J184" s="50">
        <v>0.45800000000000002</v>
      </c>
      <c r="K184" s="50">
        <v>0.46</v>
      </c>
      <c r="L184" s="50">
        <v>0.46100000000000002</v>
      </c>
      <c r="M184" s="50">
        <v>0.46300000000000002</v>
      </c>
      <c r="N184" s="50">
        <v>0.46400000000000002</v>
      </c>
      <c r="O184" s="50">
        <v>0.46600000000000003</v>
      </c>
    </row>
    <row r="185" spans="3:15" ht="15.75" thickBot="1">
      <c r="C185" s="91">
        <v>49</v>
      </c>
      <c r="D185" s="50">
        <v>0.46800000000000003</v>
      </c>
      <c r="E185" s="50">
        <v>0.46899999999999997</v>
      </c>
      <c r="F185" s="50">
        <v>0.47099999999999997</v>
      </c>
      <c r="G185" s="50">
        <v>0.47299999999999998</v>
      </c>
      <c r="H185" s="50">
        <v>0.47399999999999998</v>
      </c>
      <c r="I185" s="50">
        <v>0.47599999999999998</v>
      </c>
      <c r="J185" s="50">
        <v>0.47799999999999998</v>
      </c>
      <c r="K185" s="50">
        <v>0.47899999999999998</v>
      </c>
      <c r="L185" s="50">
        <v>0.48099999999999998</v>
      </c>
      <c r="M185" s="50">
        <v>0.48299999999999998</v>
      </c>
      <c r="N185" s="50">
        <v>0.48399999999999999</v>
      </c>
      <c r="O185" s="50">
        <v>0.48599999999999999</v>
      </c>
    </row>
    <row r="186" spans="3:15" ht="15.75" thickBot="1">
      <c r="C186" s="91">
        <v>50</v>
      </c>
      <c r="D186" s="50">
        <v>0.48799999999999999</v>
      </c>
      <c r="E186" s="50">
        <v>0.49</v>
      </c>
      <c r="F186" s="50">
        <v>0.49099999999999999</v>
      </c>
      <c r="G186" s="50">
        <v>0.49299999999999999</v>
      </c>
      <c r="H186" s="50">
        <v>0.495</v>
      </c>
      <c r="I186" s="50">
        <v>0.497</v>
      </c>
      <c r="J186" s="50">
        <v>0.499</v>
      </c>
      <c r="K186" s="50">
        <v>0.5</v>
      </c>
      <c r="L186" s="50">
        <v>0.502</v>
      </c>
      <c r="M186" s="50">
        <v>0.504</v>
      </c>
      <c r="N186" s="50">
        <v>0.50600000000000001</v>
      </c>
      <c r="O186" s="50">
        <v>0.50800000000000001</v>
      </c>
    </row>
    <row r="187" spans="3:15" ht="15.75" thickBot="1">
      <c r="C187" s="91">
        <v>51</v>
      </c>
      <c r="D187" s="50">
        <v>0.50900000000000001</v>
      </c>
      <c r="E187" s="50">
        <v>0.51100000000000001</v>
      </c>
      <c r="F187" s="50">
        <v>0.51300000000000001</v>
      </c>
      <c r="G187" s="50">
        <v>0.51500000000000001</v>
      </c>
      <c r="H187" s="50">
        <v>0.51700000000000002</v>
      </c>
      <c r="I187" s="50">
        <v>0.51900000000000002</v>
      </c>
      <c r="J187" s="50">
        <v>0.52100000000000002</v>
      </c>
      <c r="K187" s="50">
        <v>0.52300000000000002</v>
      </c>
      <c r="L187" s="50">
        <v>0.52400000000000002</v>
      </c>
      <c r="M187" s="50">
        <v>0.52600000000000002</v>
      </c>
      <c r="N187" s="50">
        <v>0.52800000000000002</v>
      </c>
      <c r="O187" s="50">
        <v>0.53</v>
      </c>
    </row>
    <row r="188" spans="3:15" ht="15.75" thickBot="1">
      <c r="C188" s="91">
        <v>52</v>
      </c>
      <c r="D188" s="50">
        <v>0.53200000000000003</v>
      </c>
      <c r="E188" s="50">
        <v>0.53400000000000003</v>
      </c>
      <c r="F188" s="50">
        <v>0.53600000000000003</v>
      </c>
      <c r="G188" s="50">
        <v>0.53800000000000003</v>
      </c>
      <c r="H188" s="50">
        <v>0.54</v>
      </c>
      <c r="I188" s="50">
        <v>0.54200000000000004</v>
      </c>
      <c r="J188" s="50">
        <v>0.54400000000000004</v>
      </c>
      <c r="K188" s="50">
        <v>0.54600000000000004</v>
      </c>
      <c r="L188" s="50">
        <v>0.54800000000000004</v>
      </c>
      <c r="M188" s="50">
        <v>0.55000000000000004</v>
      </c>
      <c r="N188" s="50">
        <v>0.55200000000000005</v>
      </c>
      <c r="O188" s="50">
        <v>0.55400000000000005</v>
      </c>
    </row>
    <row r="189" spans="3:15" ht="15.75" thickBot="1">
      <c r="C189" s="91">
        <v>53</v>
      </c>
      <c r="D189" s="50">
        <v>0.55600000000000005</v>
      </c>
      <c r="E189" s="50">
        <v>0.55800000000000005</v>
      </c>
      <c r="F189" s="50">
        <v>0.56000000000000005</v>
      </c>
      <c r="G189" s="50">
        <v>0.56299999999999994</v>
      </c>
      <c r="H189" s="50">
        <v>0.56499999999999995</v>
      </c>
      <c r="I189" s="50">
        <v>0.56699999999999995</v>
      </c>
      <c r="J189" s="50">
        <v>0.56899999999999995</v>
      </c>
      <c r="K189" s="50">
        <v>0.57099999999999995</v>
      </c>
      <c r="L189" s="50">
        <v>0.57299999999999995</v>
      </c>
      <c r="M189" s="50">
        <v>0.57499999999999996</v>
      </c>
      <c r="N189" s="50">
        <v>0.57699999999999996</v>
      </c>
      <c r="O189" s="50">
        <v>0.57899999999999996</v>
      </c>
    </row>
    <row r="190" spans="3:15" ht="15.75" thickBot="1">
      <c r="C190" s="91">
        <v>54</v>
      </c>
      <c r="D190" s="50">
        <v>0.58199999999999996</v>
      </c>
      <c r="E190" s="50">
        <v>0.58399999999999996</v>
      </c>
      <c r="F190" s="50">
        <v>0.58599999999999997</v>
      </c>
      <c r="G190" s="50">
        <v>0.58799999999999997</v>
      </c>
      <c r="H190" s="50">
        <v>0.59099999999999997</v>
      </c>
      <c r="I190" s="50">
        <v>0.59299999999999997</v>
      </c>
      <c r="J190" s="50">
        <v>0.59499999999999997</v>
      </c>
      <c r="K190" s="50">
        <v>0.59699999999999998</v>
      </c>
      <c r="L190" s="50">
        <v>0.6</v>
      </c>
      <c r="M190" s="50">
        <v>0.60199999999999998</v>
      </c>
      <c r="N190" s="50">
        <v>0.60399999999999998</v>
      </c>
      <c r="O190" s="50">
        <v>0.60599999999999998</v>
      </c>
    </row>
    <row r="191" spans="3:15" ht="15.75" thickBot="1">
      <c r="C191" s="91">
        <v>55</v>
      </c>
      <c r="D191" s="50">
        <v>0.60899999999999999</v>
      </c>
      <c r="E191" s="50">
        <v>0.61099999999999999</v>
      </c>
      <c r="F191" s="50">
        <v>0.61299999999999999</v>
      </c>
      <c r="G191" s="50">
        <v>0.61599999999999999</v>
      </c>
      <c r="H191" s="50">
        <v>0.61799999999999999</v>
      </c>
      <c r="I191" s="50">
        <v>0.621</v>
      </c>
      <c r="J191" s="50">
        <v>0.623</v>
      </c>
      <c r="K191" s="50">
        <v>0.625</v>
      </c>
      <c r="L191" s="50">
        <v>0.628</v>
      </c>
      <c r="M191" s="50">
        <v>0.63</v>
      </c>
      <c r="N191" s="50">
        <v>0.63300000000000001</v>
      </c>
      <c r="O191" s="50">
        <v>0.63500000000000001</v>
      </c>
    </row>
    <row r="192" spans="3:15" ht="15.75" thickBot="1">
      <c r="C192" s="91">
        <v>56</v>
      </c>
      <c r="D192" s="50">
        <v>0.63700000000000001</v>
      </c>
      <c r="E192" s="50">
        <v>0.64</v>
      </c>
      <c r="F192" s="50">
        <v>0.64300000000000002</v>
      </c>
      <c r="G192" s="50">
        <v>0.64500000000000002</v>
      </c>
      <c r="H192" s="50">
        <v>0.64800000000000002</v>
      </c>
      <c r="I192" s="50">
        <v>0.65</v>
      </c>
      <c r="J192" s="50">
        <v>0.65300000000000002</v>
      </c>
      <c r="K192" s="50">
        <v>0.65500000000000003</v>
      </c>
      <c r="L192" s="50">
        <v>0.65800000000000003</v>
      </c>
      <c r="M192" s="50">
        <v>0.66</v>
      </c>
      <c r="N192" s="90">
        <v>0.66300000000000003</v>
      </c>
      <c r="O192" s="50">
        <v>0.66500000000000004</v>
      </c>
    </row>
    <row r="193" spans="2:15" ht="15.75" thickBot="1">
      <c r="C193" s="91">
        <v>57</v>
      </c>
      <c r="D193" s="50">
        <v>0.66800000000000004</v>
      </c>
      <c r="E193" s="50">
        <v>0.67100000000000004</v>
      </c>
      <c r="F193" s="50">
        <v>0.67300000000000004</v>
      </c>
      <c r="G193" s="50">
        <v>0.67600000000000005</v>
      </c>
      <c r="H193" s="50">
        <v>0.67900000000000005</v>
      </c>
      <c r="I193" s="50">
        <v>0.68200000000000005</v>
      </c>
      <c r="J193" s="50">
        <v>0.68400000000000005</v>
      </c>
      <c r="K193" s="50">
        <v>0.68700000000000006</v>
      </c>
      <c r="L193" s="50">
        <v>0.69</v>
      </c>
      <c r="M193" s="50">
        <v>0.69199999999999995</v>
      </c>
      <c r="N193" s="50">
        <v>0.69499999999999995</v>
      </c>
      <c r="O193" s="50">
        <v>0.69799999999999995</v>
      </c>
    </row>
    <row r="194" spans="2:15" ht="15.75" thickBot="1">
      <c r="C194" s="91">
        <v>58</v>
      </c>
      <c r="D194" s="50">
        <v>0.70099999999999996</v>
      </c>
      <c r="E194" s="50">
        <v>0.70299999999999996</v>
      </c>
      <c r="F194" s="50">
        <v>0.70599999999999996</v>
      </c>
      <c r="G194" s="50">
        <v>0.70899999999999996</v>
      </c>
      <c r="H194" s="50">
        <v>0.71199999999999997</v>
      </c>
      <c r="I194" s="50">
        <v>0.71499999999999997</v>
      </c>
      <c r="J194" s="50">
        <v>0.71799999999999997</v>
      </c>
      <c r="K194" s="50">
        <v>0.72099999999999997</v>
      </c>
      <c r="L194" s="50">
        <v>0.72399999999999998</v>
      </c>
      <c r="M194" s="50">
        <v>0.72699999999999998</v>
      </c>
      <c r="N194" s="90" t="s">
        <v>162</v>
      </c>
      <c r="O194" s="50">
        <v>0.73199999999999998</v>
      </c>
    </row>
    <row r="195" spans="2:15" ht="15.75" thickBot="1">
      <c r="C195" s="91">
        <v>59</v>
      </c>
      <c r="D195" s="50">
        <v>0.73499999999999999</v>
      </c>
      <c r="E195" s="50">
        <v>0.73799999999999999</v>
      </c>
      <c r="F195" s="50">
        <v>0.74199999999999999</v>
      </c>
      <c r="G195" s="50">
        <v>0.745</v>
      </c>
      <c r="H195" s="50">
        <v>0.748</v>
      </c>
      <c r="I195" s="50">
        <v>0.751</v>
      </c>
      <c r="J195" s="50">
        <v>0.754</v>
      </c>
      <c r="K195" s="50">
        <v>0.75700000000000001</v>
      </c>
      <c r="L195" s="50">
        <v>0.76</v>
      </c>
      <c r="M195" s="50">
        <v>0.76300000000000001</v>
      </c>
      <c r="N195" s="50">
        <v>0.76600000000000001</v>
      </c>
      <c r="O195" s="50">
        <v>0.76900000000000002</v>
      </c>
    </row>
    <row r="196" spans="2:15" ht="15.75" thickBot="1">
      <c r="C196" s="91">
        <v>60</v>
      </c>
      <c r="D196" s="50">
        <v>0.77200000000000002</v>
      </c>
      <c r="E196" s="50">
        <v>0.77600000000000002</v>
      </c>
      <c r="F196" s="50">
        <v>0.77900000000000003</v>
      </c>
      <c r="G196" s="50">
        <v>0.78200000000000003</v>
      </c>
      <c r="H196" s="50">
        <v>0.78600000000000003</v>
      </c>
      <c r="I196" s="50">
        <v>0.78900000000000003</v>
      </c>
      <c r="J196" s="50">
        <v>0.79200000000000004</v>
      </c>
      <c r="K196" s="50">
        <v>0.79600000000000004</v>
      </c>
      <c r="L196" s="50">
        <v>0.79900000000000004</v>
      </c>
      <c r="M196" s="50">
        <v>0.80200000000000005</v>
      </c>
      <c r="N196" s="50">
        <v>0.80500000000000005</v>
      </c>
      <c r="O196" s="50">
        <v>0.80900000000000005</v>
      </c>
    </row>
    <row r="197" spans="2:15" ht="15.75" thickBot="1">
      <c r="C197" s="91">
        <v>61</v>
      </c>
      <c r="D197" s="50">
        <v>0.81200000000000006</v>
      </c>
      <c r="E197" s="50">
        <v>0.81599999999999995</v>
      </c>
      <c r="F197" s="50">
        <v>0.81899999999999995</v>
      </c>
      <c r="G197" s="50">
        <v>0.82299999999999995</v>
      </c>
      <c r="H197" s="50">
        <v>0.82599999999999996</v>
      </c>
      <c r="I197" s="50">
        <v>0.83</v>
      </c>
      <c r="J197" s="50">
        <v>0.83299999999999996</v>
      </c>
      <c r="K197" s="50">
        <v>0.83699999999999997</v>
      </c>
      <c r="L197" s="50">
        <v>0.84</v>
      </c>
      <c r="M197" s="50">
        <v>0.84399999999999997</v>
      </c>
      <c r="N197" s="50">
        <v>0.84699999999999998</v>
      </c>
      <c r="O197" s="50">
        <v>0.85099999999999998</v>
      </c>
    </row>
    <row r="198" spans="2:15" ht="15.75" thickBot="1">
      <c r="C198" s="91">
        <v>62</v>
      </c>
      <c r="D198" s="50">
        <v>0.85499999999999998</v>
      </c>
      <c r="E198" s="50">
        <v>0.85799999999999998</v>
      </c>
      <c r="F198" s="50">
        <v>0.86199999999999999</v>
      </c>
      <c r="G198" s="50">
        <v>0.86599999999999999</v>
      </c>
      <c r="H198" s="50">
        <v>0.87</v>
      </c>
      <c r="I198" s="50">
        <v>0.874</v>
      </c>
      <c r="J198" s="50">
        <v>0.877</v>
      </c>
      <c r="K198" s="50">
        <v>0.88100000000000001</v>
      </c>
      <c r="L198" s="50">
        <v>0.88500000000000001</v>
      </c>
      <c r="M198" s="50">
        <v>0.88900000000000001</v>
      </c>
      <c r="N198" s="50">
        <v>0.89300000000000002</v>
      </c>
      <c r="O198" s="50">
        <v>0.89600000000000002</v>
      </c>
    </row>
    <row r="199" spans="2:15" ht="15.75" thickBot="1">
      <c r="C199" s="91">
        <v>63</v>
      </c>
      <c r="D199" s="50">
        <v>0.9</v>
      </c>
      <c r="E199" s="50">
        <v>0.90400000000000003</v>
      </c>
      <c r="F199" s="50">
        <v>0.90900000000000003</v>
      </c>
      <c r="G199" s="50">
        <v>0.91300000000000003</v>
      </c>
      <c r="H199" s="50">
        <v>0.91700000000000004</v>
      </c>
      <c r="I199" s="50">
        <v>0.92100000000000004</v>
      </c>
      <c r="J199" s="50">
        <v>0.92500000000000004</v>
      </c>
      <c r="K199" s="50">
        <v>0.92900000000000005</v>
      </c>
      <c r="L199" s="50">
        <v>0.93300000000000005</v>
      </c>
      <c r="M199" s="50">
        <v>0.93700000000000006</v>
      </c>
      <c r="N199" s="50">
        <v>0.94099999999999995</v>
      </c>
      <c r="O199" s="50">
        <v>0.94499999999999995</v>
      </c>
    </row>
    <row r="200" spans="2:15" ht="15.75" thickBot="1">
      <c r="C200" s="91">
        <v>64</v>
      </c>
      <c r="D200" s="50">
        <v>0.94899999999999995</v>
      </c>
      <c r="E200" s="50">
        <v>0.95399999999999996</v>
      </c>
      <c r="F200" s="50">
        <v>0.95799999999999996</v>
      </c>
      <c r="G200" s="50">
        <v>0.96299999999999997</v>
      </c>
      <c r="H200" s="50">
        <v>0.96699999999999997</v>
      </c>
      <c r="I200" s="50">
        <v>0.97099999999999997</v>
      </c>
      <c r="J200" s="50">
        <v>0.97599999999999998</v>
      </c>
      <c r="K200" s="50">
        <v>0.98</v>
      </c>
      <c r="L200" s="50">
        <v>0.98499999999999999</v>
      </c>
      <c r="M200" s="50">
        <v>0.98899999999999999</v>
      </c>
      <c r="N200" s="50">
        <v>0.99299999999999999</v>
      </c>
      <c r="O200" s="50">
        <v>0.998</v>
      </c>
    </row>
    <row r="202" spans="2:15">
      <c r="B202">
        <v>1</v>
      </c>
      <c r="C202" s="54" t="s">
        <v>158</v>
      </c>
    </row>
    <row r="203" spans="2:15">
      <c r="B203">
        <v>2</v>
      </c>
      <c r="C203" s="54" t="s">
        <v>159</v>
      </c>
    </row>
    <row r="204" spans="2:15">
      <c r="B204">
        <v>3</v>
      </c>
      <c r="C204" s="54" t="s">
        <v>160</v>
      </c>
    </row>
    <row r="205" spans="2:15">
      <c r="B205">
        <v>4</v>
      </c>
      <c r="C205" s="89" t="s">
        <v>161</v>
      </c>
    </row>
    <row r="210" spans="2:27">
      <c r="B210" s="54"/>
      <c r="C210" s="54" t="s">
        <v>166</v>
      </c>
      <c r="D210" s="54"/>
      <c r="E210" s="54" t="s">
        <v>156</v>
      </c>
      <c r="F210" s="54"/>
      <c r="G210" s="54"/>
      <c r="H210" s="54"/>
      <c r="I210" s="54"/>
      <c r="J210" s="54"/>
      <c r="K210" s="54"/>
      <c r="L210" s="54"/>
      <c r="M210" s="54"/>
      <c r="N210" s="54"/>
      <c r="O210" s="54"/>
    </row>
    <row r="211" spans="2:27">
      <c r="B211" s="54"/>
      <c r="C211" s="54"/>
      <c r="D211" s="54"/>
      <c r="E211" s="54" t="s">
        <v>167</v>
      </c>
      <c r="F211" s="54"/>
      <c r="G211" s="54"/>
      <c r="H211" s="54"/>
      <c r="I211" s="54"/>
      <c r="J211" s="54"/>
      <c r="K211" s="54"/>
      <c r="L211" s="54"/>
      <c r="M211" s="54"/>
      <c r="N211" s="54"/>
      <c r="O211" s="54"/>
    </row>
    <row r="212" spans="2:27" ht="15.75" thickBot="1"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</row>
    <row r="213" spans="2:27" ht="15.75" thickBot="1">
      <c r="B213" s="54"/>
      <c r="C213" s="193" t="s">
        <v>147</v>
      </c>
      <c r="D213" s="194"/>
      <c r="E213" s="194"/>
      <c r="F213" s="194"/>
      <c r="G213" s="194"/>
      <c r="H213" s="194"/>
      <c r="I213" s="194"/>
      <c r="J213" s="194"/>
      <c r="K213" s="194"/>
      <c r="L213" s="194"/>
      <c r="M213" s="194"/>
      <c r="N213" s="194"/>
      <c r="O213" s="195"/>
    </row>
    <row r="214" spans="2:27" ht="15.75" thickBot="1">
      <c r="B214" s="54"/>
      <c r="C214" s="47" t="s">
        <v>120</v>
      </c>
      <c r="D214" s="92">
        <v>0</v>
      </c>
      <c r="E214" s="92">
        <v>1</v>
      </c>
      <c r="F214" s="92">
        <v>2</v>
      </c>
      <c r="G214" s="92">
        <v>3</v>
      </c>
      <c r="H214" s="92">
        <v>4</v>
      </c>
      <c r="I214" s="92">
        <v>5</v>
      </c>
      <c r="J214" s="92">
        <v>6</v>
      </c>
      <c r="K214" s="92">
        <v>7</v>
      </c>
      <c r="L214" s="92">
        <v>8</v>
      </c>
      <c r="M214" s="92">
        <v>9</v>
      </c>
      <c r="N214" s="92">
        <v>10</v>
      </c>
      <c r="O214" s="92">
        <v>11</v>
      </c>
    </row>
    <row r="215" spans="2:27" s="54" customFormat="1" ht="15.75" thickBot="1">
      <c r="C215" s="91">
        <v>16</v>
      </c>
      <c r="D215" s="95">
        <v>0.128</v>
      </c>
      <c r="E215" s="95">
        <v>1.29E-2</v>
      </c>
      <c r="F215" s="95">
        <v>1.29E-2</v>
      </c>
      <c r="G215" s="95">
        <v>1.29E-2</v>
      </c>
      <c r="H215" s="95">
        <v>1.2999999999999999E-2</v>
      </c>
      <c r="I215" s="95">
        <v>1.2999999999999999E-2</v>
      </c>
      <c r="J215" s="95">
        <v>1.2999999999999999E-2</v>
      </c>
      <c r="K215" s="95">
        <v>1.3100000000000001E-2</v>
      </c>
      <c r="L215" s="95">
        <v>1.3100000000000001E-2</v>
      </c>
      <c r="M215" s="95">
        <v>1.32E-2</v>
      </c>
      <c r="N215" s="95">
        <v>1.32E-2</v>
      </c>
      <c r="O215" s="95">
        <v>1.32E-2</v>
      </c>
      <c r="Q215" s="97">
        <v>129</v>
      </c>
      <c r="R215" s="54">
        <v>129</v>
      </c>
      <c r="S215" s="54">
        <v>129</v>
      </c>
      <c r="T215" s="89">
        <v>130</v>
      </c>
      <c r="U215" s="89">
        <v>130</v>
      </c>
      <c r="V215" s="89">
        <v>130</v>
      </c>
      <c r="W215" s="89">
        <v>131</v>
      </c>
      <c r="X215" s="89">
        <v>131</v>
      </c>
      <c r="Y215" s="89">
        <v>132</v>
      </c>
      <c r="Z215" s="89">
        <v>132</v>
      </c>
      <c r="AA215" s="89">
        <v>132</v>
      </c>
    </row>
    <row r="216" spans="2:27" s="54" customFormat="1" ht="15.75" thickBot="1">
      <c r="C216" s="91">
        <v>17</v>
      </c>
      <c r="D216" s="95">
        <v>1.2999999999999999E-2</v>
      </c>
      <c r="E216" s="95">
        <v>1.3299999999999999E-2</v>
      </c>
      <c r="F216" s="95">
        <v>1.3299999999999999E-2</v>
      </c>
      <c r="G216" s="95">
        <v>1.34E-2</v>
      </c>
      <c r="H216" s="95">
        <v>1.34E-2</v>
      </c>
      <c r="I216" s="95">
        <v>1.35E-2</v>
      </c>
      <c r="J216" s="95">
        <v>1.35E-2</v>
      </c>
      <c r="K216" s="95">
        <v>1.35E-2</v>
      </c>
      <c r="L216" s="95">
        <v>1.3599999999999999E-2</v>
      </c>
      <c r="M216" s="95">
        <v>1.3599999999999999E-2</v>
      </c>
      <c r="N216" s="95">
        <v>1.3599999999999999E-2</v>
      </c>
      <c r="O216" s="95">
        <v>1.37E-2</v>
      </c>
      <c r="Q216" s="54">
        <v>133</v>
      </c>
      <c r="R216" s="54">
        <v>133</v>
      </c>
      <c r="S216" s="54">
        <v>134</v>
      </c>
      <c r="T216" s="89">
        <v>134</v>
      </c>
      <c r="U216" s="89">
        <v>135</v>
      </c>
      <c r="V216" s="89">
        <v>135</v>
      </c>
      <c r="W216" s="89">
        <v>135</v>
      </c>
      <c r="X216" s="89">
        <v>136</v>
      </c>
      <c r="Y216" s="89">
        <v>136</v>
      </c>
      <c r="Z216" s="89">
        <v>136</v>
      </c>
      <c r="AA216" s="89">
        <v>137</v>
      </c>
    </row>
    <row r="217" spans="2:27" s="54" customFormat="1" ht="15.75" thickBot="1">
      <c r="C217" s="91">
        <v>18</v>
      </c>
      <c r="D217" s="95">
        <v>1.37E-2</v>
      </c>
      <c r="E217" s="95">
        <v>1.38E-2</v>
      </c>
      <c r="F217" s="95">
        <v>1.38E-2</v>
      </c>
      <c r="G217" s="95">
        <v>1.38E-2</v>
      </c>
      <c r="H217" s="95">
        <v>1.3899999999999999E-2</v>
      </c>
      <c r="I217" s="95">
        <v>1.3899999999999999E-2</v>
      </c>
      <c r="J217" s="95">
        <v>1.4E-2</v>
      </c>
      <c r="K217" s="95">
        <v>1.4E-2</v>
      </c>
      <c r="L217" s="95">
        <v>1.4E-2</v>
      </c>
      <c r="M217" s="95">
        <v>1.41E-2</v>
      </c>
      <c r="N217" s="95">
        <v>1.41E-2</v>
      </c>
      <c r="O217" s="95">
        <v>1.4200000000000001E-2</v>
      </c>
      <c r="Q217" s="54">
        <v>138</v>
      </c>
      <c r="R217" s="54">
        <v>138</v>
      </c>
      <c r="S217" s="54">
        <v>138</v>
      </c>
      <c r="T217" s="89">
        <v>139</v>
      </c>
      <c r="U217" s="89">
        <v>139</v>
      </c>
      <c r="V217" s="89">
        <v>140</v>
      </c>
      <c r="W217" s="89">
        <v>140</v>
      </c>
      <c r="X217" s="89">
        <v>140</v>
      </c>
      <c r="Y217" s="89">
        <v>141</v>
      </c>
      <c r="Z217" s="89">
        <v>141</v>
      </c>
      <c r="AA217" s="89">
        <v>142</v>
      </c>
    </row>
    <row r="218" spans="2:27" s="54" customFormat="1" ht="15.75" thickBot="1">
      <c r="C218" s="91">
        <v>19</v>
      </c>
      <c r="D218" s="95">
        <v>1.4200000000000001E-2</v>
      </c>
      <c r="E218" s="95">
        <v>1.4200000000000001E-2</v>
      </c>
      <c r="F218" s="95">
        <v>1.43E-2</v>
      </c>
      <c r="G218" s="95">
        <v>1.43E-2</v>
      </c>
      <c r="H218" s="95">
        <v>1.44E-2</v>
      </c>
      <c r="I218" s="95">
        <v>1.44E-2</v>
      </c>
      <c r="J218" s="95">
        <v>1.44E-2</v>
      </c>
      <c r="K218" s="95">
        <v>1.4500000000000001E-2</v>
      </c>
      <c r="L218" s="95">
        <v>1.4500000000000001E-2</v>
      </c>
      <c r="M218" s="95">
        <v>1.46E-2</v>
      </c>
      <c r="N218" s="95">
        <v>1.46E-2</v>
      </c>
      <c r="O218" s="95">
        <v>1.46E-2</v>
      </c>
      <c r="Q218" s="54">
        <v>142</v>
      </c>
      <c r="R218" s="54">
        <v>143</v>
      </c>
      <c r="S218" s="54">
        <v>143</v>
      </c>
      <c r="T218" s="89">
        <v>144</v>
      </c>
      <c r="U218" s="89">
        <v>144</v>
      </c>
      <c r="V218" s="89">
        <v>144</v>
      </c>
      <c r="W218" s="89">
        <v>145</v>
      </c>
      <c r="X218" s="89">
        <v>145</v>
      </c>
      <c r="Y218" s="89">
        <v>146</v>
      </c>
      <c r="Z218" s="89">
        <v>146</v>
      </c>
      <c r="AA218" s="89">
        <v>146</v>
      </c>
    </row>
    <row r="219" spans="2:27" ht="15.75" thickBot="1">
      <c r="B219" s="54"/>
      <c r="C219" s="91">
        <v>20</v>
      </c>
      <c r="D219" s="95">
        <v>1.47E-2</v>
      </c>
      <c r="E219" s="95">
        <v>1.47E-2</v>
      </c>
      <c r="F219" s="95">
        <v>1.4800000000000001E-2</v>
      </c>
      <c r="G219" s="95">
        <v>1.4800000000000001E-2</v>
      </c>
      <c r="H219" s="95">
        <v>1.49E-2</v>
      </c>
      <c r="I219" s="95">
        <v>1.49E-2</v>
      </c>
      <c r="J219" s="95">
        <v>1.49E-2</v>
      </c>
      <c r="K219" s="95">
        <v>1.4999999999999999E-2</v>
      </c>
      <c r="L219" s="95">
        <v>1.4999999999999999E-2</v>
      </c>
      <c r="M219" s="95">
        <v>1.5100000000000001E-2</v>
      </c>
      <c r="N219" s="95">
        <v>1.5100000000000001E-2</v>
      </c>
      <c r="O219" s="95">
        <v>1.5100000000000001E-2</v>
      </c>
      <c r="Q219" s="54">
        <v>147</v>
      </c>
      <c r="R219">
        <v>148</v>
      </c>
      <c r="S219">
        <v>148</v>
      </c>
      <c r="T219" s="89">
        <v>149</v>
      </c>
      <c r="U219" s="89">
        <v>149</v>
      </c>
      <c r="V219" s="89">
        <v>149</v>
      </c>
      <c r="W219" s="89">
        <v>150</v>
      </c>
      <c r="X219" s="89">
        <v>150</v>
      </c>
      <c r="Y219" s="89">
        <v>151</v>
      </c>
      <c r="Z219" s="89">
        <v>151</v>
      </c>
      <c r="AA219" s="89">
        <v>151</v>
      </c>
    </row>
    <row r="220" spans="2:27" ht="15.75" thickBot="1">
      <c r="B220" s="54"/>
      <c r="C220" s="91">
        <v>21</v>
      </c>
      <c r="D220" s="96">
        <v>1.52E-2</v>
      </c>
      <c r="E220" s="95">
        <v>1.52E-2</v>
      </c>
      <c r="F220" s="95">
        <v>1.5299999999999999E-2</v>
      </c>
      <c r="G220" s="95">
        <v>1.5299999999999999E-2</v>
      </c>
      <c r="H220" s="95">
        <v>1.54E-2</v>
      </c>
      <c r="I220" s="95">
        <v>1.54E-2</v>
      </c>
      <c r="J220" s="95">
        <v>1.55E-2</v>
      </c>
      <c r="K220" s="95">
        <v>1.55E-2</v>
      </c>
      <c r="L220" s="95">
        <v>1.55E-2</v>
      </c>
      <c r="M220" s="95">
        <v>1.5599999999999999E-2</v>
      </c>
      <c r="N220" s="95">
        <v>1.5599999999999999E-2</v>
      </c>
      <c r="O220" s="95">
        <v>1.5699999999999999E-2</v>
      </c>
      <c r="Q220">
        <v>152</v>
      </c>
      <c r="R220">
        <v>153</v>
      </c>
      <c r="S220">
        <v>153</v>
      </c>
      <c r="T220" s="89">
        <v>154</v>
      </c>
      <c r="U220" s="89">
        <v>154</v>
      </c>
      <c r="V220" s="89">
        <v>155</v>
      </c>
      <c r="W220" s="89">
        <v>155</v>
      </c>
      <c r="X220" s="89">
        <v>155</v>
      </c>
      <c r="Y220" s="89">
        <v>156</v>
      </c>
      <c r="Z220" s="89">
        <v>156</v>
      </c>
      <c r="AA220" s="89">
        <v>157</v>
      </c>
    </row>
    <row r="221" spans="2:27" ht="15.75" thickBot="1">
      <c r="B221" s="54"/>
      <c r="C221" s="91">
        <v>22</v>
      </c>
      <c r="D221" s="95">
        <v>0.91569999999999996</v>
      </c>
      <c r="E221" s="95">
        <v>1.5800000000000002E-2</v>
      </c>
      <c r="F221" s="95">
        <v>1.5800000000000002E-2</v>
      </c>
      <c r="G221" s="95">
        <v>1.5900000000000001E-2</v>
      </c>
      <c r="H221" s="95">
        <v>1.5900000000000001E-2</v>
      </c>
      <c r="I221" s="95">
        <v>1.6E-2</v>
      </c>
      <c r="J221" s="95">
        <v>1.6E-2</v>
      </c>
      <c r="K221" s="95">
        <v>1.6E-2</v>
      </c>
      <c r="L221" s="95">
        <v>1.61E-2</v>
      </c>
      <c r="M221" s="95">
        <v>1.61E-2</v>
      </c>
      <c r="N221" s="95">
        <v>1.6199999999999999E-2</v>
      </c>
      <c r="O221" s="95">
        <v>1.6199999999999999E-2</v>
      </c>
      <c r="Q221">
        <v>158</v>
      </c>
      <c r="R221">
        <v>158</v>
      </c>
      <c r="S221">
        <v>159</v>
      </c>
      <c r="T221" s="89">
        <v>159</v>
      </c>
      <c r="U221" s="89">
        <v>160</v>
      </c>
      <c r="V221" s="89">
        <v>160</v>
      </c>
      <c r="W221" s="89">
        <v>160</v>
      </c>
      <c r="X221" s="89">
        <v>161</v>
      </c>
      <c r="Y221" s="89">
        <v>161</v>
      </c>
      <c r="Z221" s="89">
        <v>162</v>
      </c>
      <c r="AA221" s="89">
        <v>162</v>
      </c>
    </row>
    <row r="222" spans="2:27" ht="15.75" thickBot="1">
      <c r="B222" s="54"/>
      <c r="C222" s="91">
        <v>23</v>
      </c>
      <c r="D222" s="95">
        <v>1.6299999999999999E-2</v>
      </c>
      <c r="E222" s="95">
        <v>1.6299999999999999E-2</v>
      </c>
      <c r="F222" s="95">
        <v>1.6400000000000001E-2</v>
      </c>
      <c r="G222" s="95">
        <v>1.6400000000000001E-2</v>
      </c>
      <c r="H222" s="95">
        <v>1.6500000000000001E-2</v>
      </c>
      <c r="I222" s="95">
        <v>1.6500000000000001E-2</v>
      </c>
      <c r="J222" s="95">
        <v>1.66E-2</v>
      </c>
      <c r="K222" s="95">
        <v>1.66E-2</v>
      </c>
      <c r="L222" s="95">
        <v>1.67E-2</v>
      </c>
      <c r="M222" s="95">
        <v>1.67E-2</v>
      </c>
      <c r="N222" s="95">
        <v>1.6799999999999999E-2</v>
      </c>
      <c r="O222" s="95">
        <v>1.6799999999999999E-2</v>
      </c>
      <c r="Q222">
        <v>163</v>
      </c>
      <c r="R222">
        <v>164</v>
      </c>
      <c r="S222">
        <v>164</v>
      </c>
      <c r="T222" s="89">
        <v>165</v>
      </c>
      <c r="U222" s="89">
        <v>165</v>
      </c>
      <c r="V222" s="89">
        <v>166</v>
      </c>
      <c r="W222" s="89">
        <v>166</v>
      </c>
      <c r="X222" s="89">
        <v>167</v>
      </c>
      <c r="Y222" s="89">
        <v>167</v>
      </c>
      <c r="Z222" s="89">
        <v>168</v>
      </c>
      <c r="AA222" s="89">
        <v>168</v>
      </c>
    </row>
    <row r="223" spans="2:27" ht="15.75" thickBot="1">
      <c r="B223" s="54"/>
      <c r="C223" s="91">
        <v>24</v>
      </c>
      <c r="D223" s="95">
        <v>1.6799999999999999E-2</v>
      </c>
      <c r="E223" s="95">
        <v>1.6899999999999998E-2</v>
      </c>
      <c r="F223" s="95">
        <v>1.6899999999999998E-2</v>
      </c>
      <c r="G223" s="95">
        <v>1.7000000000000001E-2</v>
      </c>
      <c r="H223" s="95">
        <v>1.7000000000000001E-2</v>
      </c>
      <c r="I223" s="95">
        <v>1.7100000000000001E-2</v>
      </c>
      <c r="J223" s="95">
        <v>1.7100000000000001E-2</v>
      </c>
      <c r="K223" s="95">
        <v>1.72E-2</v>
      </c>
      <c r="L223" s="95">
        <v>1.72E-2</v>
      </c>
      <c r="M223" s="95">
        <v>1.7299999999999999E-2</v>
      </c>
      <c r="N223" s="95">
        <v>1.7299999999999999E-2</v>
      </c>
      <c r="O223" s="95">
        <v>1.7399999999999999E-2</v>
      </c>
      <c r="Q223">
        <v>169</v>
      </c>
      <c r="R223">
        <v>169</v>
      </c>
      <c r="S223">
        <v>170</v>
      </c>
      <c r="T223" s="89">
        <v>170</v>
      </c>
      <c r="U223" s="89">
        <v>171</v>
      </c>
      <c r="V223" s="89">
        <v>171</v>
      </c>
      <c r="W223" s="89">
        <v>172</v>
      </c>
      <c r="X223" s="89">
        <v>172</v>
      </c>
      <c r="Y223" s="89">
        <v>173</v>
      </c>
      <c r="Z223" s="89">
        <v>173</v>
      </c>
      <c r="AA223" s="89">
        <v>174</v>
      </c>
    </row>
    <row r="224" spans="2:27" ht="15.75" thickBot="1">
      <c r="B224" s="54"/>
      <c r="C224" s="91">
        <v>25</v>
      </c>
      <c r="D224" s="95">
        <v>1.7399999999999999E-2</v>
      </c>
      <c r="E224" s="95">
        <v>1.7500000000000002E-2</v>
      </c>
      <c r="F224" s="95">
        <v>1.7500000000000002E-2</v>
      </c>
      <c r="G224" s="95">
        <v>1.7600000000000001E-2</v>
      </c>
      <c r="H224" s="95">
        <v>1.77E-2</v>
      </c>
      <c r="I224" s="95">
        <v>1.77E-2</v>
      </c>
      <c r="J224" s="95">
        <v>1.78E-2</v>
      </c>
      <c r="K224" s="95">
        <v>1.78E-2</v>
      </c>
      <c r="L224" s="95">
        <v>1.7899999999999999E-2</v>
      </c>
      <c r="M224" s="95">
        <v>1.7899999999999999E-2</v>
      </c>
      <c r="N224" s="95">
        <v>1.7999999999999999E-2</v>
      </c>
      <c r="O224" s="95">
        <v>1.7999999999999999E-2</v>
      </c>
      <c r="Q224">
        <v>175</v>
      </c>
      <c r="R224">
        <v>175</v>
      </c>
      <c r="S224">
        <v>176</v>
      </c>
      <c r="T224" s="89">
        <v>177</v>
      </c>
      <c r="U224" s="89">
        <v>177</v>
      </c>
      <c r="V224" s="89">
        <v>178</v>
      </c>
      <c r="W224" s="89">
        <v>178</v>
      </c>
      <c r="X224" s="89">
        <v>179</v>
      </c>
      <c r="Y224" s="89">
        <v>179</v>
      </c>
      <c r="Z224" s="89">
        <v>180</v>
      </c>
      <c r="AA224" s="89">
        <v>180</v>
      </c>
    </row>
    <row r="225" spans="2:27" ht="15.75" thickBot="1">
      <c r="B225" s="54"/>
      <c r="C225" s="91">
        <v>26</v>
      </c>
      <c r="D225" s="95">
        <v>1.8100000000000002E-2</v>
      </c>
      <c r="E225" s="95">
        <v>1.8100000000000002E-2</v>
      </c>
      <c r="F225" s="95">
        <v>1.8200000000000001E-2</v>
      </c>
      <c r="G225" s="95">
        <v>1.8200000000000001E-2</v>
      </c>
      <c r="H225" s="95">
        <v>1.83E-2</v>
      </c>
      <c r="I225" s="95">
        <v>1.83E-2</v>
      </c>
      <c r="J225" s="95">
        <v>1.84E-2</v>
      </c>
      <c r="K225" s="95">
        <v>1.84E-2</v>
      </c>
      <c r="L225" s="95">
        <v>1.8499999999999999E-2</v>
      </c>
      <c r="M225" s="95">
        <v>1.8599999999999998E-2</v>
      </c>
      <c r="N225" s="95">
        <v>1.8599999999999998E-2</v>
      </c>
      <c r="O225" s="95">
        <v>1.8700000000000001E-2</v>
      </c>
      <c r="Q225">
        <v>181</v>
      </c>
      <c r="R225">
        <v>182</v>
      </c>
      <c r="S225">
        <v>182</v>
      </c>
      <c r="T225" s="89">
        <v>183</v>
      </c>
      <c r="U225" s="89">
        <v>183</v>
      </c>
      <c r="V225" s="89">
        <v>184</v>
      </c>
      <c r="W225" s="89">
        <v>184</v>
      </c>
      <c r="X225" s="89">
        <v>185</v>
      </c>
      <c r="Y225" s="89">
        <v>186</v>
      </c>
      <c r="Z225" s="89">
        <v>186</v>
      </c>
      <c r="AA225" s="89">
        <v>187</v>
      </c>
    </row>
    <row r="226" spans="2:27" ht="15.75" thickBot="1">
      <c r="B226" s="54"/>
      <c r="C226" s="91">
        <v>27</v>
      </c>
      <c r="D226" s="95">
        <v>1.8700000000000001E-2</v>
      </c>
      <c r="E226" s="95">
        <v>1.8800000000000001E-2</v>
      </c>
      <c r="F226" s="95">
        <v>1.8800000000000001E-2</v>
      </c>
      <c r="G226" s="95">
        <v>1.89E-2</v>
      </c>
      <c r="H226" s="95">
        <v>1.89E-2</v>
      </c>
      <c r="I226" s="95">
        <v>1.9E-2</v>
      </c>
      <c r="J226" s="95">
        <v>1.9099999999999999E-2</v>
      </c>
      <c r="K226" s="95">
        <v>1.9099999999999999E-2</v>
      </c>
      <c r="L226" s="95">
        <v>1.9199999999999998E-2</v>
      </c>
      <c r="M226" s="95">
        <v>1.9199999999999998E-2</v>
      </c>
      <c r="N226" s="95">
        <v>1.9300000000000001E-2</v>
      </c>
      <c r="O226" s="95">
        <v>1.9300000000000001E-2</v>
      </c>
      <c r="Q226">
        <v>188</v>
      </c>
      <c r="R226">
        <v>188</v>
      </c>
      <c r="S226">
        <v>189</v>
      </c>
      <c r="T226" s="89">
        <v>189</v>
      </c>
      <c r="U226" s="89">
        <v>190</v>
      </c>
      <c r="V226" s="89">
        <v>191</v>
      </c>
      <c r="W226" s="89">
        <v>191</v>
      </c>
      <c r="X226" s="89">
        <v>192</v>
      </c>
      <c r="Y226" s="89">
        <v>192</v>
      </c>
      <c r="Z226" s="89">
        <v>193</v>
      </c>
      <c r="AA226" s="89">
        <v>193</v>
      </c>
    </row>
    <row r="227" spans="2:27" ht="15.75" thickBot="1">
      <c r="B227" s="54"/>
      <c r="C227" s="91">
        <v>28</v>
      </c>
      <c r="D227" s="95">
        <v>1.9400000000000001E-2</v>
      </c>
      <c r="E227" s="95">
        <v>1.9400000000000001E-2</v>
      </c>
      <c r="F227" s="95">
        <v>1.95E-2</v>
      </c>
      <c r="G227" s="95">
        <v>1.9599999999999999E-2</v>
      </c>
      <c r="H227" s="95">
        <v>1.9599999999999999E-2</v>
      </c>
      <c r="I227" s="95">
        <v>1.9699999999999999E-2</v>
      </c>
      <c r="J227" s="95">
        <v>1.9699999999999999E-2</v>
      </c>
      <c r="K227" s="95">
        <v>1.9800000000000002E-2</v>
      </c>
      <c r="L227" s="95">
        <v>1.9900000000000001E-2</v>
      </c>
      <c r="M227" s="95">
        <v>1.9900000000000001E-2</v>
      </c>
      <c r="N227" s="95">
        <v>0.02</v>
      </c>
      <c r="O227" s="95">
        <v>0.02</v>
      </c>
      <c r="Q227">
        <v>194</v>
      </c>
      <c r="R227">
        <v>195</v>
      </c>
      <c r="S227">
        <v>196</v>
      </c>
      <c r="T227" s="89">
        <v>196</v>
      </c>
      <c r="U227" s="89">
        <v>197</v>
      </c>
      <c r="V227" s="89">
        <v>197</v>
      </c>
      <c r="W227" s="89">
        <v>198</v>
      </c>
      <c r="X227" s="89">
        <v>199</v>
      </c>
      <c r="Y227" s="89">
        <v>199</v>
      </c>
      <c r="Z227" s="89">
        <v>200</v>
      </c>
      <c r="AA227" s="89">
        <v>200</v>
      </c>
    </row>
    <row r="228" spans="2:27" ht="15.75" thickBot="1">
      <c r="B228" s="54"/>
      <c r="C228" s="91">
        <v>29</v>
      </c>
      <c r="D228" s="95">
        <v>2.01E-2</v>
      </c>
      <c r="E228" s="95">
        <v>2.0199999999999999E-2</v>
      </c>
      <c r="F228" s="95">
        <v>2.0199999999999999E-2</v>
      </c>
      <c r="G228" s="95">
        <v>2.0299999999999999E-2</v>
      </c>
      <c r="H228" s="95">
        <v>2.0299999999999999E-2</v>
      </c>
      <c r="I228" s="95">
        <v>2.0400000000000001E-2</v>
      </c>
      <c r="J228" s="95">
        <v>2.0500000000000001E-2</v>
      </c>
      <c r="K228" s="95">
        <v>2.0500000000000001E-2</v>
      </c>
      <c r="L228" s="95">
        <v>2.06E-2</v>
      </c>
      <c r="M228" s="95">
        <v>2.06E-2</v>
      </c>
      <c r="N228" s="95">
        <v>2.07E-2</v>
      </c>
      <c r="O228" s="95">
        <v>2.0799999999999999E-2</v>
      </c>
      <c r="Q228">
        <v>202</v>
      </c>
      <c r="R228">
        <v>202</v>
      </c>
      <c r="S228">
        <v>203</v>
      </c>
      <c r="T228" s="89">
        <v>203</v>
      </c>
      <c r="U228" s="89">
        <v>204</v>
      </c>
      <c r="V228" s="89">
        <v>205</v>
      </c>
      <c r="W228" s="89">
        <v>205</v>
      </c>
      <c r="X228" s="89">
        <v>206</v>
      </c>
      <c r="Y228" s="89">
        <v>206</v>
      </c>
      <c r="Z228" s="89">
        <v>207</v>
      </c>
      <c r="AA228" s="89">
        <v>208</v>
      </c>
    </row>
    <row r="229" spans="2:27" ht="15.75" thickBot="1">
      <c r="B229" s="54"/>
      <c r="C229" s="91">
        <v>30</v>
      </c>
      <c r="D229" s="95">
        <v>2.0199999999999999E-2</v>
      </c>
      <c r="E229" s="95">
        <v>2.0899999999999998E-2</v>
      </c>
      <c r="F229" s="95">
        <v>2.1000000000000001E-2</v>
      </c>
      <c r="G229" s="95">
        <v>2.1000000000000001E-2</v>
      </c>
      <c r="H229" s="95">
        <v>2.1100000000000001E-2</v>
      </c>
      <c r="I229" s="95">
        <v>2.1100000000000001E-2</v>
      </c>
      <c r="J229" s="95">
        <v>2.12E-2</v>
      </c>
      <c r="K229" s="95">
        <v>2.1299999999999999E-2</v>
      </c>
      <c r="L229" s="95">
        <v>2.1299999999999999E-2</v>
      </c>
      <c r="M229" s="95">
        <v>2.1399999999999999E-2</v>
      </c>
      <c r="N229" s="95">
        <v>2.1499999999999998E-2</v>
      </c>
      <c r="O229" s="95">
        <v>2.1499999999999998E-2</v>
      </c>
      <c r="Q229">
        <v>209</v>
      </c>
      <c r="R229">
        <v>210</v>
      </c>
      <c r="S229">
        <v>210</v>
      </c>
      <c r="T229" s="89">
        <v>211</v>
      </c>
      <c r="U229" s="89">
        <v>211</v>
      </c>
      <c r="V229" s="89">
        <v>212</v>
      </c>
      <c r="W229" s="89">
        <v>213</v>
      </c>
      <c r="X229" s="89">
        <v>213</v>
      </c>
      <c r="Y229" s="89">
        <v>214</v>
      </c>
      <c r="Z229" s="89">
        <v>215</v>
      </c>
      <c r="AA229" s="89">
        <v>215</v>
      </c>
    </row>
    <row r="230" spans="2:27" ht="15.75" thickBot="1">
      <c r="B230" s="54"/>
      <c r="C230" s="91">
        <v>31</v>
      </c>
      <c r="D230" s="95">
        <v>2.1600000000000001E-2</v>
      </c>
      <c r="E230" s="95">
        <v>2.1700000000000001E-2</v>
      </c>
      <c r="F230" s="95">
        <v>2.1700000000000001E-2</v>
      </c>
      <c r="G230" s="95">
        <v>2.18E-2</v>
      </c>
      <c r="H230" s="95">
        <v>2.1899999999999999E-2</v>
      </c>
      <c r="I230" s="95">
        <v>2.1899999999999999E-2</v>
      </c>
      <c r="J230" s="95">
        <v>2.1999999999999999E-2</v>
      </c>
      <c r="K230" s="95">
        <v>2.2100000000000002E-2</v>
      </c>
      <c r="L230" s="95">
        <v>2.2100000000000002E-2</v>
      </c>
      <c r="M230" s="95">
        <v>2.2200000000000001E-2</v>
      </c>
      <c r="N230" s="95">
        <v>2.23E-2</v>
      </c>
      <c r="O230" s="95">
        <v>2.23E-2</v>
      </c>
      <c r="Q230">
        <v>217</v>
      </c>
      <c r="R230">
        <v>217</v>
      </c>
      <c r="S230">
        <v>218</v>
      </c>
      <c r="T230" s="89">
        <v>219</v>
      </c>
      <c r="U230" s="89">
        <v>219</v>
      </c>
      <c r="V230" s="89">
        <v>220</v>
      </c>
      <c r="W230" s="89">
        <v>221</v>
      </c>
      <c r="X230" s="89">
        <v>221</v>
      </c>
      <c r="Y230" s="89">
        <v>222</v>
      </c>
      <c r="Z230" s="89">
        <v>223</v>
      </c>
      <c r="AA230" s="89">
        <v>223</v>
      </c>
    </row>
    <row r="231" spans="2:27" ht="15.75" thickBot="1">
      <c r="B231" s="54"/>
      <c r="C231" s="91">
        <v>32</v>
      </c>
      <c r="D231" s="95">
        <v>2.24E-2</v>
      </c>
      <c r="E231" s="95">
        <v>2.2499999999999999E-2</v>
      </c>
      <c r="F231" s="95">
        <v>2.2499999999999999E-2</v>
      </c>
      <c r="G231" s="95">
        <v>2.2599999999999999E-2</v>
      </c>
      <c r="H231" s="95">
        <v>2.2700000000000001E-2</v>
      </c>
      <c r="I231" s="95">
        <v>2.2700000000000001E-2</v>
      </c>
      <c r="J231" s="95">
        <v>2.2800000000000001E-2</v>
      </c>
      <c r="K231" s="95">
        <v>2.29E-2</v>
      </c>
      <c r="L231" s="95">
        <v>2.29E-2</v>
      </c>
      <c r="M231" s="95">
        <v>2.3E-2</v>
      </c>
      <c r="N231" s="95">
        <v>2.3099999999999999E-2</v>
      </c>
      <c r="O231" s="95">
        <v>2.3099999999999999E-2</v>
      </c>
      <c r="Q231">
        <v>225</v>
      </c>
      <c r="R231">
        <v>225</v>
      </c>
      <c r="S231">
        <v>226</v>
      </c>
      <c r="T231" s="89">
        <v>227</v>
      </c>
      <c r="U231" s="89">
        <v>227</v>
      </c>
      <c r="V231" s="89">
        <v>228</v>
      </c>
      <c r="W231" s="89">
        <v>229</v>
      </c>
      <c r="X231" s="89">
        <v>229</v>
      </c>
      <c r="Y231" s="89">
        <v>230</v>
      </c>
      <c r="Z231" s="89">
        <v>231</v>
      </c>
      <c r="AA231" s="89">
        <v>231</v>
      </c>
    </row>
    <row r="232" spans="2:27" ht="15.75" thickBot="1">
      <c r="B232" s="54"/>
      <c r="C232" s="91">
        <v>33</v>
      </c>
      <c r="D232" s="95">
        <v>2.3199999999999998E-2</v>
      </c>
      <c r="E232" s="95">
        <v>2.3300000000000001E-2</v>
      </c>
      <c r="F232" s="95">
        <v>2.3400000000000001E-2</v>
      </c>
      <c r="G232" s="95">
        <v>2.3400000000000001E-2</v>
      </c>
      <c r="H232" s="95">
        <v>2.35E-2</v>
      </c>
      <c r="I232" s="95">
        <v>2.3599999999999999E-2</v>
      </c>
      <c r="J232" s="95">
        <v>2.3699999999999999E-2</v>
      </c>
      <c r="K232" s="95">
        <v>2.3699999999999999E-2</v>
      </c>
      <c r="L232" s="95">
        <v>2.3E-2</v>
      </c>
      <c r="M232" s="95">
        <v>2.3900000000000001E-2</v>
      </c>
      <c r="N232" s="95">
        <v>2.3900000000000001E-2</v>
      </c>
      <c r="O232" s="95">
        <v>2.4E-2</v>
      </c>
      <c r="Q232">
        <v>233</v>
      </c>
      <c r="R232">
        <v>234</v>
      </c>
      <c r="S232">
        <v>234</v>
      </c>
      <c r="T232" s="89">
        <v>235</v>
      </c>
      <c r="U232" s="89">
        <v>236</v>
      </c>
      <c r="V232" s="89">
        <v>237</v>
      </c>
      <c r="W232" s="89">
        <v>237</v>
      </c>
      <c r="X232" s="89">
        <v>230</v>
      </c>
      <c r="Y232" s="89">
        <v>239</v>
      </c>
      <c r="Z232" s="89">
        <v>239</v>
      </c>
      <c r="AA232" s="89">
        <v>240</v>
      </c>
    </row>
    <row r="233" spans="2:27" ht="15.75" thickBot="1">
      <c r="B233" s="54"/>
      <c r="C233" s="91">
        <v>34</v>
      </c>
      <c r="D233" s="95">
        <v>2.41E-2</v>
      </c>
      <c r="E233" s="95">
        <v>2.4199999999999999E-2</v>
      </c>
      <c r="F233" s="95">
        <v>2.4199999999999999E-2</v>
      </c>
      <c r="G233" s="95">
        <v>2.4299999999999999E-2</v>
      </c>
      <c r="H233" s="95">
        <v>2.4400000000000002E-2</v>
      </c>
      <c r="I233" s="95">
        <v>2.4500000000000001E-2</v>
      </c>
      <c r="J233" s="95">
        <v>2.4500000000000001E-2</v>
      </c>
      <c r="K233" s="95">
        <v>2.46E-2</v>
      </c>
      <c r="L233" s="95">
        <v>2.47E-2</v>
      </c>
      <c r="M233" s="95">
        <v>2.4799999999999999E-2</v>
      </c>
      <c r="N233" s="95">
        <v>2.4799999999999999E-2</v>
      </c>
      <c r="O233" s="95">
        <v>2.4899999999999999E-2</v>
      </c>
      <c r="Q233">
        <v>242</v>
      </c>
      <c r="R233">
        <v>242</v>
      </c>
      <c r="S233">
        <v>243</v>
      </c>
      <c r="T233" s="89">
        <v>244</v>
      </c>
      <c r="U233" s="89">
        <v>245</v>
      </c>
      <c r="V233" s="89">
        <v>245</v>
      </c>
      <c r="W233" s="89">
        <v>246</v>
      </c>
      <c r="X233" s="89">
        <v>247</v>
      </c>
      <c r="Y233" s="89">
        <v>248</v>
      </c>
      <c r="Z233" s="89">
        <v>248</v>
      </c>
      <c r="AA233" s="89">
        <v>249</v>
      </c>
    </row>
    <row r="234" spans="2:27" ht="15.75" thickBot="1">
      <c r="B234" s="54"/>
      <c r="C234" s="91">
        <v>35</v>
      </c>
      <c r="D234" s="95">
        <v>2.5000000000000001E-2</v>
      </c>
      <c r="E234" s="95">
        <v>2.5100000000000001E-2</v>
      </c>
      <c r="F234" s="95">
        <v>2.52E-2</v>
      </c>
      <c r="G234" s="95">
        <v>2.52E-2</v>
      </c>
      <c r="H234" s="95">
        <v>2.53E-2</v>
      </c>
      <c r="I234" s="95">
        <v>2.5399999999999999E-2</v>
      </c>
      <c r="J234" s="95">
        <v>2.5499999999999998E-2</v>
      </c>
      <c r="K234" s="95">
        <v>2.5499999999999998E-2</v>
      </c>
      <c r="L234" s="95">
        <v>2.5600000000000001E-2</v>
      </c>
      <c r="M234" s="95">
        <v>2.5700000000000001E-2</v>
      </c>
      <c r="N234" s="95">
        <v>2.58E-2</v>
      </c>
      <c r="O234" s="95">
        <v>2.5899999999999999E-2</v>
      </c>
      <c r="Q234">
        <v>251</v>
      </c>
      <c r="R234">
        <v>252</v>
      </c>
      <c r="S234">
        <v>252</v>
      </c>
      <c r="T234" s="89">
        <v>253</v>
      </c>
      <c r="U234" s="89">
        <v>254</v>
      </c>
      <c r="V234" s="89">
        <v>255</v>
      </c>
      <c r="W234" s="89">
        <v>255</v>
      </c>
      <c r="X234" s="89">
        <v>256</v>
      </c>
      <c r="Y234" s="89">
        <v>257</v>
      </c>
      <c r="Z234" s="89">
        <v>258</v>
      </c>
      <c r="AA234" s="89">
        <v>259</v>
      </c>
    </row>
    <row r="235" spans="2:27" ht="15.75" thickBot="1">
      <c r="B235" s="54"/>
      <c r="C235" s="91">
        <v>36</v>
      </c>
      <c r="D235" s="95">
        <v>2.5899999999999999E-2</v>
      </c>
      <c r="E235" s="95">
        <v>2.5999999999999999E-2</v>
      </c>
      <c r="F235" s="95">
        <v>2.6100000000000002E-2</v>
      </c>
      <c r="G235" s="95">
        <v>2.6200000000000001E-2</v>
      </c>
      <c r="H235" s="95">
        <v>2.63E-2</v>
      </c>
      <c r="I235" s="95">
        <v>2.64E-2</v>
      </c>
      <c r="J235" s="95">
        <v>2.64E-2</v>
      </c>
      <c r="K235" s="95">
        <v>2.6499999999999999E-2</v>
      </c>
      <c r="L235" s="95">
        <v>2.6599999999999999E-2</v>
      </c>
      <c r="M235" s="95">
        <v>2.6700000000000002E-2</v>
      </c>
      <c r="N235" s="95">
        <v>2.6800000000000001E-2</v>
      </c>
      <c r="O235" s="95">
        <v>2.69E-2</v>
      </c>
      <c r="Q235">
        <v>260</v>
      </c>
      <c r="R235">
        <v>261</v>
      </c>
      <c r="S235">
        <v>262</v>
      </c>
      <c r="T235" s="89">
        <v>263</v>
      </c>
      <c r="U235" s="89">
        <v>264</v>
      </c>
      <c r="V235" s="89">
        <v>264</v>
      </c>
      <c r="W235" s="89">
        <v>265</v>
      </c>
      <c r="X235" s="89">
        <v>266</v>
      </c>
      <c r="Y235" s="89">
        <v>267</v>
      </c>
      <c r="Z235" s="89">
        <v>268</v>
      </c>
      <c r="AA235" s="89">
        <v>269</v>
      </c>
    </row>
    <row r="236" spans="2:27" ht="15.75" thickBot="1">
      <c r="B236" s="54"/>
      <c r="C236" s="91">
        <v>37</v>
      </c>
      <c r="D236" s="95">
        <v>2.69E-2</v>
      </c>
      <c r="E236" s="95">
        <v>2.7E-2</v>
      </c>
      <c r="F236" s="95">
        <v>2.7099999999999999E-2</v>
      </c>
      <c r="G236" s="95">
        <v>2.7199999999999998E-2</v>
      </c>
      <c r="H236" s="95">
        <v>2.7300000000000001E-2</v>
      </c>
      <c r="I236" s="95">
        <v>2.7400000000000001E-2</v>
      </c>
      <c r="J236" s="95">
        <v>2.75E-2</v>
      </c>
      <c r="K236" s="95">
        <v>2.75E-2</v>
      </c>
      <c r="L236" s="95">
        <v>2.76E-2</v>
      </c>
      <c r="M236" s="95">
        <v>2.7699999999999999E-2</v>
      </c>
      <c r="N236" s="95">
        <v>2.7799999999999998E-2</v>
      </c>
      <c r="O236" s="95">
        <v>2.7900000000000001E-2</v>
      </c>
      <c r="Q236">
        <v>270</v>
      </c>
      <c r="R236">
        <v>271</v>
      </c>
      <c r="S236">
        <v>272</v>
      </c>
      <c r="T236" s="89">
        <v>273</v>
      </c>
      <c r="U236" s="89">
        <v>274</v>
      </c>
      <c r="V236" s="89">
        <v>275</v>
      </c>
      <c r="W236" s="89">
        <v>275</v>
      </c>
      <c r="X236" s="89">
        <v>276</v>
      </c>
      <c r="Y236" s="89">
        <v>277</v>
      </c>
      <c r="Z236" s="89">
        <v>278</v>
      </c>
      <c r="AA236" s="89">
        <v>279</v>
      </c>
    </row>
    <row r="237" spans="2:27" ht="15.75" thickBot="1">
      <c r="B237" s="54"/>
      <c r="C237" s="91">
        <v>38</v>
      </c>
      <c r="D237" s="95">
        <v>2.8000000000000001E-2</v>
      </c>
      <c r="E237" s="95">
        <v>2.81E-2</v>
      </c>
      <c r="F237" s="95">
        <v>2.8199999999999999E-2</v>
      </c>
      <c r="G237" s="95">
        <v>2.8199999999999999E-2</v>
      </c>
      <c r="H237" s="95">
        <v>2.8299999999999999E-2</v>
      </c>
      <c r="I237" s="95">
        <v>2.8400000000000002E-2</v>
      </c>
      <c r="J237" s="95">
        <v>2.8500000000000001E-2</v>
      </c>
      <c r="K237" s="95">
        <v>2.86E-2</v>
      </c>
      <c r="L237" s="95">
        <v>2.87E-2</v>
      </c>
      <c r="M237" s="95">
        <v>2.8799999999999999E-2</v>
      </c>
      <c r="N237" s="95">
        <v>2.8899999999999999E-2</v>
      </c>
      <c r="O237" s="95">
        <v>2.9000000000000001E-2</v>
      </c>
      <c r="Q237">
        <v>281</v>
      </c>
      <c r="R237">
        <v>282</v>
      </c>
      <c r="S237">
        <v>282</v>
      </c>
      <c r="T237" s="89">
        <v>283</v>
      </c>
      <c r="U237" s="89">
        <v>284</v>
      </c>
      <c r="V237" s="89">
        <v>285</v>
      </c>
      <c r="W237" s="89">
        <v>286</v>
      </c>
      <c r="X237" s="89">
        <v>287</v>
      </c>
      <c r="Y237" s="89">
        <v>288</v>
      </c>
      <c r="Z237" s="89">
        <v>289</v>
      </c>
      <c r="AA237" s="89">
        <v>290</v>
      </c>
    </row>
    <row r="238" spans="2:27" ht="15.75" thickBot="1">
      <c r="B238" s="54"/>
      <c r="C238" s="91">
        <v>39</v>
      </c>
      <c r="D238" s="95">
        <v>2.9100000000000001E-2</v>
      </c>
      <c r="E238" s="95">
        <v>2.92E-2</v>
      </c>
      <c r="F238" s="95">
        <v>2.93E-2</v>
      </c>
      <c r="G238" s="95">
        <v>2.9399999999999999E-2</v>
      </c>
      <c r="H238" s="95">
        <v>2.9399999999999999E-2</v>
      </c>
      <c r="I238" s="95">
        <v>2.9499999999999998E-2</v>
      </c>
      <c r="J238" s="95">
        <v>2.9600000000000001E-2</v>
      </c>
      <c r="K238" s="95">
        <v>2.9700000000000001E-2</v>
      </c>
      <c r="L238" s="95">
        <v>2.98E-2</v>
      </c>
      <c r="M238" s="95">
        <v>2.9899999999999999E-2</v>
      </c>
      <c r="N238" s="95">
        <v>0.03</v>
      </c>
      <c r="O238" s="95">
        <v>3.0099999999999998E-2</v>
      </c>
      <c r="Q238">
        <v>292</v>
      </c>
      <c r="R238">
        <v>293</v>
      </c>
      <c r="S238">
        <v>294</v>
      </c>
      <c r="T238" s="89">
        <v>294</v>
      </c>
      <c r="U238" s="89">
        <v>295</v>
      </c>
      <c r="V238" s="89">
        <v>296</v>
      </c>
      <c r="W238" s="89">
        <v>297</v>
      </c>
      <c r="X238" s="89">
        <v>298</v>
      </c>
      <c r="Y238" s="89">
        <v>299</v>
      </c>
      <c r="Z238" s="89">
        <v>300</v>
      </c>
      <c r="AA238" s="89">
        <v>301</v>
      </c>
    </row>
    <row r="239" spans="2:27" ht="15.75" thickBot="1">
      <c r="B239" s="54"/>
      <c r="C239" s="91">
        <v>40</v>
      </c>
      <c r="D239" s="95">
        <v>3.0200000000000001E-2</v>
      </c>
      <c r="E239" s="95">
        <v>3.0300000000000001E-2</v>
      </c>
      <c r="F239" s="95">
        <v>3.04E-2</v>
      </c>
      <c r="G239" s="95">
        <v>3.0499999999999999E-2</v>
      </c>
      <c r="H239" s="95">
        <v>3.0599999999999999E-2</v>
      </c>
      <c r="I239" s="95">
        <v>3.0700000000000002E-2</v>
      </c>
      <c r="J239" s="95">
        <v>3.0800000000000001E-2</v>
      </c>
      <c r="K239" s="95">
        <v>3.09E-2</v>
      </c>
      <c r="L239" s="95">
        <v>3.1E-2</v>
      </c>
      <c r="M239" s="95">
        <v>3.1099999999999999E-2</v>
      </c>
      <c r="N239" s="95">
        <v>3.1199999999999999E-2</v>
      </c>
      <c r="O239" s="95">
        <v>3.1300000000000001E-2</v>
      </c>
      <c r="Q239">
        <v>303</v>
      </c>
      <c r="R239">
        <v>304</v>
      </c>
      <c r="S239">
        <v>305</v>
      </c>
      <c r="T239" s="89">
        <v>306</v>
      </c>
      <c r="U239" s="89">
        <v>307</v>
      </c>
      <c r="V239" s="89">
        <v>308</v>
      </c>
      <c r="W239" s="89">
        <v>309</v>
      </c>
      <c r="X239" s="89">
        <v>310</v>
      </c>
      <c r="Y239" s="89">
        <v>311</v>
      </c>
      <c r="Z239" s="89">
        <v>312</v>
      </c>
      <c r="AA239" s="89">
        <v>313</v>
      </c>
    </row>
    <row r="240" spans="2:27" ht="15.75" thickBot="1">
      <c r="B240" s="54"/>
      <c r="C240" s="91">
        <v>41</v>
      </c>
      <c r="D240" s="95">
        <v>3.1399999999999997E-2</v>
      </c>
      <c r="E240" s="95">
        <v>3.15E-2</v>
      </c>
      <c r="F240" s="95">
        <v>3.1600000000000003E-2</v>
      </c>
      <c r="G240" s="95">
        <v>3.1699999999999999E-2</v>
      </c>
      <c r="H240" s="95">
        <v>3.1800000000000002E-2</v>
      </c>
      <c r="I240" s="95">
        <v>3.1899999999999998E-2</v>
      </c>
      <c r="J240" s="95">
        <v>3.2000000000000001E-2</v>
      </c>
      <c r="K240" s="95">
        <v>3.2099999999999997E-2</v>
      </c>
      <c r="L240" s="95">
        <v>3.2199999999999999E-2</v>
      </c>
      <c r="M240" s="95">
        <v>3.2300000000000002E-2</v>
      </c>
      <c r="N240" s="95">
        <v>3.2399999999999998E-2</v>
      </c>
      <c r="O240" s="95">
        <v>3.2599999999999997E-2</v>
      </c>
      <c r="Q240">
        <v>315</v>
      </c>
      <c r="R240">
        <v>316</v>
      </c>
      <c r="S240">
        <v>317</v>
      </c>
      <c r="T240" s="89">
        <v>318</v>
      </c>
      <c r="U240" s="89">
        <v>319</v>
      </c>
      <c r="V240" s="89">
        <v>320</v>
      </c>
      <c r="W240" s="89">
        <v>321</v>
      </c>
      <c r="X240" s="89">
        <v>322</v>
      </c>
      <c r="Y240" s="89">
        <v>323</v>
      </c>
      <c r="Z240" s="89">
        <v>324</v>
      </c>
      <c r="AA240" s="89">
        <v>326</v>
      </c>
    </row>
    <row r="241" spans="2:27" ht="15.75" thickBot="1">
      <c r="B241" s="54"/>
      <c r="C241" s="91">
        <v>42</v>
      </c>
      <c r="D241" s="95">
        <v>3.27E-2</v>
      </c>
      <c r="E241" s="95">
        <v>3.2800000000000003E-2</v>
      </c>
      <c r="F241" s="95">
        <v>3.2899999999999999E-2</v>
      </c>
      <c r="G241" s="95">
        <v>3.3000000000000002E-2</v>
      </c>
      <c r="H241" s="95">
        <v>3.3099999999999997E-2</v>
      </c>
      <c r="I241" s="95">
        <v>3.32E-2</v>
      </c>
      <c r="J241" s="95">
        <v>3.3300000000000003E-2</v>
      </c>
      <c r="K241" s="95">
        <v>3.3399999999999999E-2</v>
      </c>
      <c r="L241" s="95">
        <v>3.3500000000000002E-2</v>
      </c>
      <c r="M241" s="95">
        <v>3.3599999999999998E-2</v>
      </c>
      <c r="N241" s="95">
        <v>3.3799999999999997E-2</v>
      </c>
      <c r="O241" s="95">
        <v>3.39E-2</v>
      </c>
      <c r="Q241">
        <v>328</v>
      </c>
      <c r="R241">
        <v>329</v>
      </c>
      <c r="S241">
        <v>330</v>
      </c>
      <c r="T241" s="89">
        <v>331</v>
      </c>
      <c r="U241" s="89">
        <v>332</v>
      </c>
      <c r="V241" s="89">
        <v>333</v>
      </c>
      <c r="W241" s="89">
        <v>334</v>
      </c>
      <c r="X241" s="89">
        <v>335</v>
      </c>
      <c r="Y241" s="89">
        <v>336</v>
      </c>
      <c r="Z241" s="89">
        <v>338</v>
      </c>
      <c r="AA241" s="89">
        <v>339</v>
      </c>
    </row>
    <row r="242" spans="2:27" ht="15.75" thickBot="1">
      <c r="B242" s="54"/>
      <c r="C242" s="91">
        <v>43</v>
      </c>
      <c r="D242" s="95">
        <v>3.4000000000000002E-2</v>
      </c>
      <c r="E242" s="95">
        <v>3.4099999999999998E-2</v>
      </c>
      <c r="F242" s="95">
        <v>3.4200000000000001E-2</v>
      </c>
      <c r="G242" s="95">
        <v>3.4299999999999997E-2</v>
      </c>
      <c r="H242" s="95">
        <v>3.44E-2</v>
      </c>
      <c r="I242" s="95">
        <v>3.4500000000000003E-2</v>
      </c>
      <c r="J242" s="95">
        <v>3.4700000000000002E-2</v>
      </c>
      <c r="K242" s="95">
        <v>3.4799999999999998E-2</v>
      </c>
      <c r="L242" s="95">
        <v>3.49E-2</v>
      </c>
      <c r="M242" s="95">
        <v>3.5000000000000003E-2</v>
      </c>
      <c r="N242" s="95">
        <v>3.5099999999999999E-2</v>
      </c>
      <c r="O242" s="95">
        <v>3.5200000000000002E-2</v>
      </c>
      <c r="Q242">
        <v>341</v>
      </c>
      <c r="R242">
        <v>342</v>
      </c>
      <c r="S242">
        <v>343</v>
      </c>
      <c r="T242" s="89">
        <v>344</v>
      </c>
      <c r="U242" s="89">
        <v>345</v>
      </c>
      <c r="V242" s="89">
        <v>347</v>
      </c>
      <c r="W242" s="89">
        <v>348</v>
      </c>
      <c r="X242" s="89">
        <v>349</v>
      </c>
      <c r="Y242" s="89">
        <v>350</v>
      </c>
      <c r="Z242" s="89">
        <v>351</v>
      </c>
      <c r="AA242" s="89">
        <v>352</v>
      </c>
    </row>
    <row r="243" spans="2:27" ht="15.75" thickBot="1">
      <c r="B243" s="54"/>
      <c r="C243" s="91">
        <v>44</v>
      </c>
      <c r="D243" s="95">
        <v>3.5400000000000001E-2</v>
      </c>
      <c r="E243" s="95">
        <v>3.5499999999999997E-2</v>
      </c>
      <c r="F243" s="95">
        <v>3.56E-2</v>
      </c>
      <c r="G243" s="95">
        <v>3.5700000000000003E-2</v>
      </c>
      <c r="H243" s="95">
        <v>3.5799999999999998E-2</v>
      </c>
      <c r="I243" s="95">
        <v>3.5999999999999997E-2</v>
      </c>
      <c r="J243" s="95">
        <v>3.61E-2</v>
      </c>
      <c r="K243" s="95">
        <v>3.6200000000000003E-2</v>
      </c>
      <c r="L243" s="95">
        <v>3.6299999999999999E-2</v>
      </c>
      <c r="M243" s="95">
        <v>3.6400000000000002E-2</v>
      </c>
      <c r="N243" s="95">
        <v>3.6600000000000001E-2</v>
      </c>
      <c r="O243" s="95">
        <v>3.6700000000000003E-2</v>
      </c>
      <c r="Q243">
        <v>355</v>
      </c>
      <c r="R243">
        <v>356</v>
      </c>
      <c r="S243">
        <v>357</v>
      </c>
      <c r="T243" s="89">
        <v>358</v>
      </c>
      <c r="U243" s="89">
        <v>360</v>
      </c>
      <c r="V243" s="89">
        <v>361</v>
      </c>
      <c r="W243" s="89">
        <v>362</v>
      </c>
      <c r="X243" s="89">
        <v>363</v>
      </c>
      <c r="Y243" s="89">
        <v>364</v>
      </c>
      <c r="Z243" s="89">
        <v>366</v>
      </c>
      <c r="AA243" s="89">
        <v>367</v>
      </c>
    </row>
    <row r="244" spans="2:27" ht="15.75" thickBot="1">
      <c r="B244" s="54"/>
      <c r="C244" s="91">
        <v>45</v>
      </c>
      <c r="D244" s="95">
        <v>3.6799999999999999E-2</v>
      </c>
      <c r="E244" s="95">
        <v>3.6900000000000002E-2</v>
      </c>
      <c r="F244" s="95">
        <v>3.7100000000000001E-2</v>
      </c>
      <c r="G244" s="95">
        <v>3.7199999999999997E-2</v>
      </c>
      <c r="H244" s="95">
        <v>3.73E-2</v>
      </c>
      <c r="I244" s="95">
        <v>3.7400000000000003E-2</v>
      </c>
      <c r="J244" s="95">
        <v>3.7600000000000001E-2</v>
      </c>
      <c r="K244" s="95">
        <v>3.7699999999999997E-2</v>
      </c>
      <c r="L244" s="95">
        <v>3.78E-2</v>
      </c>
      <c r="M244" s="95">
        <v>3.7999999999999999E-2</v>
      </c>
      <c r="N244" s="95">
        <v>3.8100000000000002E-2</v>
      </c>
      <c r="O244" s="95">
        <v>3.8199999999999998E-2</v>
      </c>
      <c r="Q244">
        <v>369</v>
      </c>
      <c r="R244">
        <v>371</v>
      </c>
      <c r="S244">
        <v>372</v>
      </c>
      <c r="T244" s="89">
        <v>373</v>
      </c>
      <c r="U244" s="89">
        <v>374</v>
      </c>
      <c r="V244" s="89">
        <v>376</v>
      </c>
      <c r="W244" s="89">
        <v>377</v>
      </c>
      <c r="X244" s="89">
        <v>378</v>
      </c>
      <c r="Y244" s="89">
        <v>380</v>
      </c>
      <c r="Z244" s="89">
        <v>381</v>
      </c>
      <c r="AA244" s="89">
        <v>382</v>
      </c>
    </row>
    <row r="245" spans="2:27" ht="15.75" thickBot="1">
      <c r="B245" s="54"/>
      <c r="C245" s="91">
        <v>46</v>
      </c>
      <c r="D245" s="95">
        <v>3.8300000000000001E-2</v>
      </c>
      <c r="E245" s="95">
        <v>3.85E-2</v>
      </c>
      <c r="F245" s="95">
        <v>3.8600000000000002E-2</v>
      </c>
      <c r="G245" s="95">
        <v>3.8699999999999998E-2</v>
      </c>
      <c r="H245" s="95">
        <v>3.8899999999999997E-2</v>
      </c>
      <c r="I245" s="95">
        <v>3.9E-2</v>
      </c>
      <c r="J245" s="95">
        <v>3.9100000000000003E-2</v>
      </c>
      <c r="K245" s="95">
        <v>3.9300000000000002E-2</v>
      </c>
      <c r="L245" s="95">
        <v>3.9399999999999998E-2</v>
      </c>
      <c r="M245" s="95">
        <v>3.95E-2</v>
      </c>
      <c r="N245" s="95">
        <v>3.9699999999999999E-2</v>
      </c>
      <c r="O245" s="95">
        <v>3.9800000000000002E-2</v>
      </c>
      <c r="Q245">
        <v>385</v>
      </c>
      <c r="R245">
        <v>386</v>
      </c>
      <c r="S245">
        <v>387</v>
      </c>
      <c r="T245" s="89">
        <v>389</v>
      </c>
      <c r="U245" s="89">
        <v>390</v>
      </c>
      <c r="V245" s="89">
        <v>391</v>
      </c>
      <c r="W245" s="89">
        <v>393</v>
      </c>
      <c r="X245" s="89">
        <v>394</v>
      </c>
      <c r="Y245" s="89">
        <v>395</v>
      </c>
      <c r="Z245" s="89">
        <v>397</v>
      </c>
      <c r="AA245" s="89">
        <v>398</v>
      </c>
    </row>
    <row r="246" spans="2:27" ht="15.75" thickBot="1">
      <c r="B246" s="54"/>
      <c r="C246" s="91">
        <v>47</v>
      </c>
      <c r="D246" s="95">
        <v>3.9899999999999998E-2</v>
      </c>
      <c r="E246" s="95">
        <v>4.0099999999999997E-2</v>
      </c>
      <c r="F246" s="95">
        <v>4.02E-2</v>
      </c>
      <c r="G246" s="95">
        <v>4.0399999999999998E-2</v>
      </c>
      <c r="H246" s="95">
        <v>4.0500000000000001E-2</v>
      </c>
      <c r="I246" s="95">
        <v>4.07E-2</v>
      </c>
      <c r="J246" s="95">
        <v>4.0800000000000003E-2</v>
      </c>
      <c r="K246" s="95">
        <v>4.0899999999999999E-2</v>
      </c>
      <c r="L246" s="95">
        <v>4.1099999999999998E-2</v>
      </c>
      <c r="M246" s="95">
        <v>4.1200000000000001E-2</v>
      </c>
      <c r="N246" s="95">
        <v>4.1399999999999999E-2</v>
      </c>
      <c r="O246" s="95">
        <v>4.1500000000000002E-2</v>
      </c>
      <c r="Q246">
        <v>401</v>
      </c>
      <c r="R246">
        <v>402</v>
      </c>
      <c r="S246">
        <v>404</v>
      </c>
      <c r="T246" s="89">
        <v>405</v>
      </c>
      <c r="U246" s="89">
        <v>407</v>
      </c>
      <c r="V246" s="89">
        <v>408</v>
      </c>
      <c r="W246" s="89">
        <v>409</v>
      </c>
      <c r="X246" s="89">
        <v>411</v>
      </c>
      <c r="Y246" s="89">
        <v>412</v>
      </c>
      <c r="Z246" s="89">
        <v>414</v>
      </c>
      <c r="AA246" s="89">
        <v>415</v>
      </c>
    </row>
    <row r="247" spans="2:27" ht="15.75" thickBot="1">
      <c r="B247" s="54"/>
      <c r="C247" s="91">
        <v>48</v>
      </c>
      <c r="D247" s="95">
        <v>4.1599999999999998E-2</v>
      </c>
      <c r="E247" s="95">
        <v>4.1799999999999997E-2</v>
      </c>
      <c r="F247" s="95">
        <v>4.19E-2</v>
      </c>
      <c r="G247" s="95">
        <v>4.2099999999999999E-2</v>
      </c>
      <c r="H247" s="95">
        <v>4.2200000000000001E-2</v>
      </c>
      <c r="I247" s="95">
        <v>4.24E-2</v>
      </c>
      <c r="J247" s="95">
        <v>4.2500000000000003E-2</v>
      </c>
      <c r="K247" s="95">
        <v>4.2700000000000002E-2</v>
      </c>
      <c r="L247" s="95">
        <v>4.2799999999999998E-2</v>
      </c>
      <c r="M247" s="95">
        <v>4.2999999999999997E-2</v>
      </c>
      <c r="N247" s="95">
        <v>4.3099999999999999E-2</v>
      </c>
      <c r="O247" s="95">
        <v>4.3299999999999998E-2</v>
      </c>
      <c r="Q247">
        <v>418</v>
      </c>
      <c r="R247">
        <v>419</v>
      </c>
      <c r="S247">
        <v>421</v>
      </c>
      <c r="T247" s="89">
        <v>422</v>
      </c>
      <c r="U247" s="89">
        <v>424</v>
      </c>
      <c r="V247" s="89">
        <v>425</v>
      </c>
      <c r="W247" s="89">
        <v>427</v>
      </c>
      <c r="X247" s="89">
        <v>428</v>
      </c>
      <c r="Y247" s="89">
        <v>430</v>
      </c>
      <c r="Z247" s="89">
        <v>431</v>
      </c>
      <c r="AA247" s="89">
        <v>433</v>
      </c>
    </row>
    <row r="248" spans="2:27" ht="15.75" thickBot="1">
      <c r="B248" s="54"/>
      <c r="C248" s="91">
        <v>49</v>
      </c>
      <c r="D248" s="95">
        <v>4.3400000000000001E-2</v>
      </c>
      <c r="E248" s="95">
        <v>4.36E-2</v>
      </c>
      <c r="F248" s="95">
        <v>4.3700000000000003E-2</v>
      </c>
      <c r="G248" s="95">
        <v>4.3900000000000002E-2</v>
      </c>
      <c r="H248" s="95">
        <v>4.41E-2</v>
      </c>
      <c r="I248" s="95">
        <v>4.4200000000000003E-2</v>
      </c>
      <c r="J248" s="95">
        <v>4.4400000000000002E-2</v>
      </c>
      <c r="K248" s="95">
        <v>4.4499999999999998E-2</v>
      </c>
      <c r="L248" s="95">
        <v>4.4699999999999997E-2</v>
      </c>
      <c r="M248" s="95">
        <v>4.48E-2</v>
      </c>
      <c r="N248" s="95">
        <v>4.4999999999999998E-2</v>
      </c>
      <c r="O248" s="95">
        <v>4.5199999999999997E-2</v>
      </c>
      <c r="Q248">
        <v>436</v>
      </c>
      <c r="R248">
        <v>437</v>
      </c>
      <c r="S248">
        <v>439</v>
      </c>
      <c r="T248" s="89">
        <v>441</v>
      </c>
      <c r="U248" s="89">
        <v>442</v>
      </c>
      <c r="V248" s="89">
        <v>444</v>
      </c>
      <c r="W248" s="89">
        <v>445</v>
      </c>
      <c r="X248" s="89">
        <v>447</v>
      </c>
      <c r="Y248" s="89">
        <v>448</v>
      </c>
      <c r="Z248" s="89">
        <v>450</v>
      </c>
      <c r="AA248" s="89">
        <v>452</v>
      </c>
    </row>
    <row r="249" spans="2:27" ht="15.75" thickBot="1">
      <c r="B249" s="54"/>
      <c r="C249" s="91">
        <v>50</v>
      </c>
      <c r="D249" s="95">
        <v>4.53E-2</v>
      </c>
      <c r="E249" s="95">
        <v>4.5499999999999999E-2</v>
      </c>
      <c r="F249" s="95">
        <v>4.5699999999999998E-2</v>
      </c>
      <c r="G249" s="95">
        <v>4.58E-2</v>
      </c>
      <c r="H249" s="95">
        <v>4.5999999999999999E-2</v>
      </c>
      <c r="I249" s="95">
        <v>4.6100000000000002E-2</v>
      </c>
      <c r="J249" s="95">
        <v>4.6300000000000001E-2</v>
      </c>
      <c r="K249" s="95">
        <v>4.65E-2</v>
      </c>
      <c r="L249" s="95">
        <v>4.6600000000000003E-2</v>
      </c>
      <c r="M249" s="95">
        <v>4.6800000000000001E-2</v>
      </c>
      <c r="N249" s="95">
        <v>4.7E-2</v>
      </c>
      <c r="O249" s="95">
        <v>4.7100000000000003E-2</v>
      </c>
      <c r="Q249">
        <v>455</v>
      </c>
      <c r="R249">
        <v>457</v>
      </c>
      <c r="S249">
        <v>458</v>
      </c>
      <c r="T249" s="89">
        <v>460</v>
      </c>
      <c r="U249" s="89">
        <v>461</v>
      </c>
      <c r="V249" s="89">
        <v>463</v>
      </c>
      <c r="W249" s="89">
        <v>465</v>
      </c>
      <c r="X249" s="89">
        <v>466</v>
      </c>
      <c r="Y249" s="89">
        <v>468</v>
      </c>
      <c r="Z249" s="89">
        <v>470</v>
      </c>
      <c r="AA249" s="89">
        <v>471</v>
      </c>
    </row>
    <row r="250" spans="2:27" ht="15.75" thickBot="1">
      <c r="B250" s="54"/>
      <c r="C250" s="91">
        <v>51</v>
      </c>
      <c r="D250" s="95">
        <v>4.7300000000000002E-2</v>
      </c>
      <c r="E250" s="95">
        <v>4.7500000000000001E-2</v>
      </c>
      <c r="F250" s="95">
        <v>4.7699999999999999E-2</v>
      </c>
      <c r="G250" s="95">
        <v>4.7800000000000002E-2</v>
      </c>
      <c r="H250" s="95">
        <v>4.8000000000000001E-2</v>
      </c>
      <c r="I250" s="95">
        <v>4.82E-2</v>
      </c>
      <c r="J250" s="95">
        <v>4.8399999999999999E-2</v>
      </c>
      <c r="K250" s="95">
        <v>4.8500000000000001E-2</v>
      </c>
      <c r="L250" s="95">
        <v>4.87E-2</v>
      </c>
      <c r="M250" s="95">
        <v>4.8899999999999999E-2</v>
      </c>
      <c r="N250" s="95">
        <v>4.9099999999999998E-2</v>
      </c>
      <c r="O250" s="95">
        <v>4.9200000000000001E-2</v>
      </c>
      <c r="Q250">
        <v>475</v>
      </c>
      <c r="R250">
        <v>477</v>
      </c>
      <c r="S250">
        <v>478</v>
      </c>
      <c r="T250" s="89">
        <v>480</v>
      </c>
      <c r="U250" s="89">
        <v>482</v>
      </c>
      <c r="V250" s="89">
        <v>484</v>
      </c>
      <c r="W250" s="89">
        <v>485</v>
      </c>
      <c r="X250" s="89">
        <v>487</v>
      </c>
      <c r="Y250" s="89">
        <v>489</v>
      </c>
      <c r="Z250" s="89">
        <v>491</v>
      </c>
      <c r="AA250" s="89">
        <v>492</v>
      </c>
    </row>
    <row r="251" spans="2:27" ht="15.75" thickBot="1">
      <c r="B251" s="54"/>
      <c r="C251" s="91">
        <v>52</v>
      </c>
      <c r="D251" s="95">
        <v>4.9399999999999999E-2</v>
      </c>
      <c r="E251" s="95">
        <v>4.9599999999999998E-2</v>
      </c>
      <c r="F251" s="95">
        <v>4.9799999999999997E-2</v>
      </c>
      <c r="G251" s="95">
        <v>0.05</v>
      </c>
      <c r="H251" s="95">
        <v>5.0200000000000002E-2</v>
      </c>
      <c r="I251" s="95">
        <v>5.04E-2</v>
      </c>
      <c r="J251" s="95">
        <v>5.0500000000000003E-2</v>
      </c>
      <c r="K251" s="95">
        <v>5.0700000000000002E-2</v>
      </c>
      <c r="L251" s="95">
        <v>5.0900000000000001E-2</v>
      </c>
      <c r="M251" s="95">
        <v>5.11E-2</v>
      </c>
      <c r="N251" s="95">
        <v>5.1299999999999998E-2</v>
      </c>
      <c r="O251" s="95">
        <v>5.1499999999999997E-2</v>
      </c>
      <c r="Q251">
        <v>496</v>
      </c>
      <c r="R251">
        <v>498</v>
      </c>
      <c r="S251">
        <v>500</v>
      </c>
      <c r="T251" s="89">
        <v>502</v>
      </c>
      <c r="U251" s="89">
        <v>504</v>
      </c>
      <c r="V251" s="89">
        <v>505</v>
      </c>
      <c r="W251" s="89">
        <v>507</v>
      </c>
      <c r="X251" s="89">
        <v>509</v>
      </c>
      <c r="Y251" s="89">
        <v>511</v>
      </c>
      <c r="Z251" s="89">
        <v>513</v>
      </c>
      <c r="AA251" s="89">
        <v>515</v>
      </c>
    </row>
    <row r="252" spans="2:27" ht="15.75" thickBot="1">
      <c r="B252" s="54"/>
      <c r="C252" s="91">
        <v>53</v>
      </c>
      <c r="D252" s="95">
        <v>5.1700000000000003E-2</v>
      </c>
      <c r="E252" s="95">
        <v>5.1900000000000002E-2</v>
      </c>
      <c r="F252" s="95">
        <v>5.21E-2</v>
      </c>
      <c r="G252" s="95">
        <v>5.2200000000000003E-2</v>
      </c>
      <c r="H252" s="95">
        <v>5.2400000000000002E-2</v>
      </c>
      <c r="I252" s="95">
        <v>5.2600000000000001E-2</v>
      </c>
      <c r="J252" s="95">
        <v>5.28E-2</v>
      </c>
      <c r="K252" s="95">
        <v>5.2999999999999999E-2</v>
      </c>
      <c r="L252" s="95">
        <v>5.3199999999999997E-2</v>
      </c>
      <c r="M252" s="95">
        <v>5.3400000000000003E-2</v>
      </c>
      <c r="N252" s="95">
        <v>5.3600000000000002E-2</v>
      </c>
      <c r="O252" s="95">
        <v>5.3800000000000001E-2</v>
      </c>
      <c r="Q252">
        <v>519</v>
      </c>
      <c r="R252">
        <v>521</v>
      </c>
      <c r="S252">
        <v>522</v>
      </c>
      <c r="T252" s="89">
        <v>524</v>
      </c>
      <c r="U252" s="89">
        <v>526</v>
      </c>
      <c r="V252" s="89">
        <v>528</v>
      </c>
      <c r="W252" s="89">
        <v>530</v>
      </c>
      <c r="X252" s="89">
        <v>532</v>
      </c>
      <c r="Y252" s="89">
        <v>534</v>
      </c>
      <c r="Z252" s="89">
        <v>536</v>
      </c>
      <c r="AA252" s="89">
        <v>538</v>
      </c>
    </row>
    <row r="253" spans="2:27" ht="15.75" thickBot="1">
      <c r="B253" s="54"/>
      <c r="C253" s="91">
        <v>54</v>
      </c>
      <c r="D253" s="95">
        <v>5.3999999999999999E-2</v>
      </c>
      <c r="E253" s="95">
        <v>5.4199999999999998E-2</v>
      </c>
      <c r="F253" s="95">
        <v>5.4399999999999997E-2</v>
      </c>
      <c r="G253" s="95">
        <v>5.4699999999999999E-2</v>
      </c>
      <c r="H253" s="95">
        <v>5.4899999999999997E-2</v>
      </c>
      <c r="I253" s="95">
        <v>5.5100000000000003E-2</v>
      </c>
      <c r="J253" s="95">
        <v>5.5300000000000002E-2</v>
      </c>
      <c r="K253" s="95">
        <v>5.5500000000000001E-2</v>
      </c>
      <c r="L253" s="95">
        <v>5.57E-2</v>
      </c>
      <c r="M253" s="95">
        <v>5.5899999999999998E-2</v>
      </c>
      <c r="N253" s="95">
        <v>5.6099999999999997E-2</v>
      </c>
      <c r="O253" s="95">
        <v>5.6300000000000003E-2</v>
      </c>
      <c r="Q253">
        <v>542</v>
      </c>
      <c r="R253">
        <v>544</v>
      </c>
      <c r="S253">
        <v>547</v>
      </c>
      <c r="T253" s="89">
        <v>549</v>
      </c>
      <c r="U253" s="89">
        <v>551</v>
      </c>
      <c r="V253" s="89">
        <v>553</v>
      </c>
      <c r="W253" s="89">
        <v>555</v>
      </c>
      <c r="X253" s="89">
        <v>557</v>
      </c>
      <c r="Y253" s="89">
        <v>559</v>
      </c>
      <c r="Z253" s="89">
        <v>561</v>
      </c>
      <c r="AA253" s="89">
        <v>563</v>
      </c>
    </row>
    <row r="254" spans="2:27" ht="15.75" thickBot="1">
      <c r="B254" s="54"/>
      <c r="C254" s="91">
        <v>55</v>
      </c>
      <c r="D254" s="95">
        <v>5.6500000000000002E-2</v>
      </c>
      <c r="E254" s="95">
        <v>5.6800000000000003E-2</v>
      </c>
      <c r="F254" s="95">
        <v>5.7000000000000002E-2</v>
      </c>
      <c r="G254" s="95">
        <v>5.7200000000000001E-2</v>
      </c>
      <c r="H254" s="95">
        <v>5.74E-2</v>
      </c>
      <c r="I254" s="95">
        <v>5.7599999999999998E-2</v>
      </c>
      <c r="J254" s="95">
        <v>5.79E-2</v>
      </c>
      <c r="K254" s="95">
        <v>5.8099999999999999E-2</v>
      </c>
      <c r="L254" s="95">
        <v>5.8299999999999998E-2</v>
      </c>
      <c r="M254" s="95">
        <v>5.8500000000000003E-2</v>
      </c>
      <c r="N254" s="95">
        <v>5.8799999999999998E-2</v>
      </c>
      <c r="O254" s="95">
        <v>5.8999999999999997E-2</v>
      </c>
      <c r="Q254">
        <v>568</v>
      </c>
      <c r="R254">
        <v>570</v>
      </c>
      <c r="S254">
        <v>572</v>
      </c>
      <c r="T254" s="89">
        <v>574</v>
      </c>
      <c r="U254" s="89">
        <v>576</v>
      </c>
      <c r="V254" s="89">
        <v>579</v>
      </c>
      <c r="W254" s="89">
        <v>581</v>
      </c>
      <c r="X254" s="89">
        <v>583</v>
      </c>
      <c r="Y254" s="89">
        <v>585</v>
      </c>
      <c r="Z254" s="89">
        <v>588</v>
      </c>
      <c r="AA254" s="89">
        <v>590</v>
      </c>
    </row>
    <row r="255" spans="2:27" ht="15.75" thickBot="1">
      <c r="B255" s="54"/>
      <c r="C255" s="91">
        <v>56</v>
      </c>
      <c r="D255" s="95">
        <v>5.9200000000000003E-2</v>
      </c>
      <c r="E255" s="95">
        <v>5.9400000000000001E-2</v>
      </c>
      <c r="F255" s="95">
        <v>5.9700000000000003E-2</v>
      </c>
      <c r="G255" s="95">
        <v>5.9900000000000002E-2</v>
      </c>
      <c r="H255" s="95">
        <v>6.0199999999999997E-2</v>
      </c>
      <c r="I255" s="95">
        <v>6.0400000000000002E-2</v>
      </c>
      <c r="J255" s="95">
        <v>6.0600000000000001E-2</v>
      </c>
      <c r="K255" s="95">
        <v>6.0900000000000003E-2</v>
      </c>
      <c r="L255" s="95">
        <v>6.1100000000000002E-2</v>
      </c>
      <c r="M255" s="95">
        <v>6.13E-2</v>
      </c>
      <c r="N255" s="95">
        <v>6.1600000000000002E-2</v>
      </c>
      <c r="O255" s="95">
        <v>6.1800000000000001E-2</v>
      </c>
      <c r="Q255">
        <v>594</v>
      </c>
      <c r="R255">
        <v>597</v>
      </c>
      <c r="S255">
        <v>599</v>
      </c>
      <c r="T255" s="89">
        <v>602</v>
      </c>
      <c r="U255" s="89">
        <v>604</v>
      </c>
      <c r="V255" s="89">
        <v>606</v>
      </c>
      <c r="W255" s="89">
        <v>609</v>
      </c>
      <c r="X255" s="89">
        <v>611</v>
      </c>
      <c r="Y255" s="89">
        <v>613</v>
      </c>
      <c r="Z255" s="89">
        <v>616</v>
      </c>
      <c r="AA255" s="89">
        <v>618</v>
      </c>
    </row>
    <row r="256" spans="2:27" ht="15.75" thickBot="1">
      <c r="B256" s="54"/>
      <c r="C256" s="91">
        <v>57</v>
      </c>
      <c r="D256" s="95">
        <v>6.2100000000000002E-2</v>
      </c>
      <c r="E256" s="95">
        <v>6.2300000000000001E-2</v>
      </c>
      <c r="F256" s="95">
        <v>6.2600000000000003E-2</v>
      </c>
      <c r="G256" s="95">
        <v>6.2799999999999995E-2</v>
      </c>
      <c r="H256" s="95">
        <v>6.3100000000000003E-2</v>
      </c>
      <c r="I256" s="95">
        <v>6.3299999999999995E-2</v>
      </c>
      <c r="J256" s="95">
        <v>6.3600000000000004E-2</v>
      </c>
      <c r="K256" s="95">
        <v>6.3799999999999996E-2</v>
      </c>
      <c r="L256" s="95">
        <v>6.4100000000000004E-2</v>
      </c>
      <c r="M256" s="95">
        <v>6.4299999999999996E-2</v>
      </c>
      <c r="N256" s="95">
        <v>6.4600000000000005E-2</v>
      </c>
      <c r="O256" s="95">
        <v>6.4799999999999996E-2</v>
      </c>
      <c r="Q256">
        <v>623</v>
      </c>
      <c r="R256">
        <v>626</v>
      </c>
      <c r="S256">
        <v>628</v>
      </c>
      <c r="T256" s="89">
        <v>631</v>
      </c>
      <c r="U256" s="89">
        <v>633</v>
      </c>
      <c r="V256" s="89">
        <v>636</v>
      </c>
      <c r="W256" s="89">
        <v>638</v>
      </c>
      <c r="X256" s="89">
        <v>641</v>
      </c>
      <c r="Y256" s="89">
        <v>643</v>
      </c>
      <c r="Z256" s="89">
        <v>646</v>
      </c>
      <c r="AA256" s="89">
        <v>648</v>
      </c>
    </row>
    <row r="257" spans="2:27" ht="15.75" thickBot="1">
      <c r="B257" s="54"/>
      <c r="C257" s="91">
        <v>58</v>
      </c>
      <c r="D257" s="95">
        <v>6.5100000000000005E-2</v>
      </c>
      <c r="E257" s="95">
        <v>5.6300000000000003E-2</v>
      </c>
      <c r="F257" s="95">
        <v>6.5600000000000006E-2</v>
      </c>
      <c r="G257" s="95">
        <v>6.59E-2</v>
      </c>
      <c r="H257" s="95">
        <v>6.6100000000000006E-2</v>
      </c>
      <c r="I257" s="95">
        <v>6.6400000000000001E-2</v>
      </c>
      <c r="J257" s="95">
        <v>6.6699999999999995E-2</v>
      </c>
      <c r="K257" s="95">
        <v>6.6900000000000001E-2</v>
      </c>
      <c r="L257" s="95">
        <v>6.7199999999999996E-2</v>
      </c>
      <c r="M257" s="95">
        <v>6.7500000000000004E-2</v>
      </c>
      <c r="N257" s="95">
        <v>6.7799999999999999E-2</v>
      </c>
      <c r="O257" s="95">
        <v>6.8000000000000005E-2</v>
      </c>
      <c r="Q257">
        <v>563</v>
      </c>
      <c r="R257">
        <v>656</v>
      </c>
      <c r="S257">
        <v>659</v>
      </c>
      <c r="T257" s="89">
        <v>661</v>
      </c>
      <c r="U257" s="89">
        <v>664</v>
      </c>
      <c r="V257" s="89">
        <v>667</v>
      </c>
      <c r="W257" s="89">
        <v>669</v>
      </c>
      <c r="X257" s="89">
        <v>672</v>
      </c>
      <c r="Y257" s="89">
        <v>675</v>
      </c>
      <c r="Z257" s="89">
        <v>678</v>
      </c>
      <c r="AA257" s="89">
        <v>680</v>
      </c>
    </row>
    <row r="258" spans="2:27" ht="15.75" thickBot="1">
      <c r="B258" s="54"/>
      <c r="C258" s="91">
        <v>59</v>
      </c>
      <c r="D258" s="95">
        <v>6.83E-2</v>
      </c>
      <c r="E258" s="95">
        <v>6.8599999999999994E-2</v>
      </c>
      <c r="F258" s="95">
        <v>6.8900000000000003E-2</v>
      </c>
      <c r="G258" s="95">
        <v>6.9199999999999998E-2</v>
      </c>
      <c r="H258" s="95">
        <v>6.9400000000000003E-2</v>
      </c>
      <c r="I258" s="95">
        <v>6.9699999999999998E-2</v>
      </c>
      <c r="J258" s="95">
        <v>7.0000000000000007E-2</v>
      </c>
      <c r="K258" s="95">
        <v>7.0300000000000001E-2</v>
      </c>
      <c r="L258" s="95">
        <v>7.0599999999999996E-2</v>
      </c>
      <c r="M258" s="95">
        <v>7.0900000000000005E-2</v>
      </c>
      <c r="N258" s="95">
        <v>7.1199999999999999E-2</v>
      </c>
      <c r="O258" s="95">
        <v>7.1499999999999994E-2</v>
      </c>
      <c r="Q258">
        <v>686</v>
      </c>
      <c r="R258">
        <v>689</v>
      </c>
      <c r="S258">
        <v>692</v>
      </c>
      <c r="T258" s="89">
        <v>694</v>
      </c>
      <c r="U258" s="89">
        <v>697</v>
      </c>
      <c r="V258" s="89">
        <v>700</v>
      </c>
      <c r="W258" s="89">
        <v>703</v>
      </c>
      <c r="X258" s="89">
        <v>706</v>
      </c>
      <c r="Y258" s="89">
        <v>709</v>
      </c>
      <c r="Z258" s="89">
        <v>712</v>
      </c>
      <c r="AA258" s="89">
        <v>715</v>
      </c>
    </row>
    <row r="259" spans="2:27" ht="15.75" thickBot="1">
      <c r="B259" s="54"/>
      <c r="C259" s="91">
        <v>60</v>
      </c>
      <c r="D259" s="95">
        <v>7.17E-2</v>
      </c>
      <c r="E259" s="95">
        <v>7.1900000000000006E-2</v>
      </c>
      <c r="F259" s="95">
        <v>7.1999999999999995E-2</v>
      </c>
      <c r="G259" s="95">
        <v>7.22E-2</v>
      </c>
      <c r="H259" s="95">
        <v>7.2400000000000006E-2</v>
      </c>
      <c r="I259" s="95">
        <v>7.2499999999999995E-2</v>
      </c>
      <c r="J259" s="95">
        <v>7.2700000000000001E-2</v>
      </c>
      <c r="K259" s="95">
        <v>7.2900000000000006E-2</v>
      </c>
      <c r="L259" s="95">
        <v>7.3099999999999998E-2</v>
      </c>
      <c r="M259" s="95">
        <v>7.3200000000000001E-2</v>
      </c>
      <c r="N259" s="95">
        <v>7.3400000000000007E-2</v>
      </c>
      <c r="O259" s="95">
        <v>7.3599999999999999E-2</v>
      </c>
      <c r="Q259">
        <v>719</v>
      </c>
      <c r="R259">
        <v>720</v>
      </c>
      <c r="S259">
        <v>722</v>
      </c>
      <c r="T259" s="89">
        <v>724</v>
      </c>
      <c r="U259" s="89">
        <v>725</v>
      </c>
      <c r="V259" s="89">
        <v>727</v>
      </c>
      <c r="W259" s="89">
        <v>729</v>
      </c>
      <c r="X259" s="89">
        <v>731</v>
      </c>
      <c r="Y259" s="89">
        <v>732</v>
      </c>
      <c r="Z259" s="89">
        <v>734</v>
      </c>
      <c r="AA259" s="89">
        <v>736</v>
      </c>
    </row>
    <row r="260" spans="2:27" ht="15.75" thickBot="1">
      <c r="B260" s="54"/>
      <c r="C260" s="91">
        <v>61</v>
      </c>
      <c r="D260" s="95">
        <v>7.3700000000000002E-2</v>
      </c>
      <c r="E260" s="95">
        <v>7.3899999999999993E-2</v>
      </c>
      <c r="F260" s="95">
        <v>7.4099999999999999E-2</v>
      </c>
      <c r="G260" s="95">
        <v>7.4300000000000005E-2</v>
      </c>
      <c r="H260" s="95">
        <v>7.4499999999999997E-2</v>
      </c>
      <c r="I260" s="95">
        <v>7.46E-2</v>
      </c>
      <c r="J260" s="95">
        <v>7.4800000000000005E-2</v>
      </c>
      <c r="K260" s="95">
        <v>7.4999999999999997E-2</v>
      </c>
      <c r="L260" s="95">
        <v>7.5200000000000003E-2</v>
      </c>
      <c r="M260" s="95">
        <v>7.5399999999999995E-2</v>
      </c>
      <c r="N260" s="95">
        <v>7.5600000000000001E-2</v>
      </c>
      <c r="O260" s="95">
        <v>7.5700000000000003E-2</v>
      </c>
      <c r="Q260">
        <v>739</v>
      </c>
      <c r="R260">
        <v>741</v>
      </c>
      <c r="S260">
        <v>743</v>
      </c>
      <c r="T260" s="89">
        <v>745</v>
      </c>
      <c r="U260" s="89">
        <v>746</v>
      </c>
      <c r="V260" s="89">
        <v>748</v>
      </c>
      <c r="W260" s="89">
        <v>750</v>
      </c>
      <c r="X260" s="89">
        <v>752</v>
      </c>
      <c r="Y260" s="89">
        <v>754</v>
      </c>
      <c r="Z260" s="89">
        <v>756</v>
      </c>
      <c r="AA260" s="89">
        <v>757</v>
      </c>
    </row>
    <row r="261" spans="2:27" ht="15.75" thickBot="1">
      <c r="B261" s="54"/>
      <c r="C261" s="91">
        <v>62</v>
      </c>
      <c r="D261" s="95">
        <v>7.5899999999999995E-2</v>
      </c>
      <c r="E261" s="95">
        <v>7.6100000000000001E-2</v>
      </c>
      <c r="F261" s="95">
        <v>7.6300000000000007E-2</v>
      </c>
      <c r="G261" s="95">
        <v>7.6499999999999999E-2</v>
      </c>
      <c r="H261" s="95">
        <v>7.6700000000000004E-2</v>
      </c>
      <c r="I261" s="95">
        <v>7.6899999999999996E-2</v>
      </c>
      <c r="J261" s="95">
        <v>7.7100000000000002E-2</v>
      </c>
      <c r="K261" s="95">
        <v>7.7299999999999994E-2</v>
      </c>
      <c r="L261" s="95">
        <v>7.7499999999999999E-2</v>
      </c>
      <c r="M261" s="95">
        <v>7.7700000000000005E-2</v>
      </c>
      <c r="N261" s="95">
        <v>7.7899999999999997E-2</v>
      </c>
      <c r="O261" s="95">
        <v>7.8100000000000003E-2</v>
      </c>
      <c r="Q261">
        <v>761</v>
      </c>
      <c r="R261">
        <v>763</v>
      </c>
      <c r="S261">
        <v>765</v>
      </c>
      <c r="T261" s="89">
        <v>767</v>
      </c>
      <c r="U261" s="89">
        <v>769</v>
      </c>
      <c r="V261" s="89">
        <v>771</v>
      </c>
      <c r="W261" s="89">
        <v>773</v>
      </c>
      <c r="X261" s="89">
        <v>775</v>
      </c>
      <c r="Y261" s="89">
        <v>777</v>
      </c>
      <c r="Z261" s="89">
        <v>779</v>
      </c>
      <c r="AA261" s="89">
        <v>781</v>
      </c>
    </row>
    <row r="262" spans="2:27" ht="15.75" thickBot="1">
      <c r="B262" s="54"/>
      <c r="C262" s="91">
        <v>63</v>
      </c>
      <c r="D262" s="95">
        <v>7.8299999999999995E-2</v>
      </c>
      <c r="E262" s="95">
        <v>7.85E-2</v>
      </c>
      <c r="F262" s="95">
        <v>7.8700000000000006E-2</v>
      </c>
      <c r="G262" s="95">
        <v>7.8899999999999998E-2</v>
      </c>
      <c r="H262" s="95">
        <v>7.9100000000000004E-2</v>
      </c>
      <c r="I262" s="95">
        <v>7.9299999999999995E-2</v>
      </c>
      <c r="J262" s="95">
        <v>7.9500000000000001E-2</v>
      </c>
      <c r="K262" s="95">
        <v>7.9699999999999993E-2</v>
      </c>
      <c r="L262" s="95">
        <v>7.9899999999999999E-2</v>
      </c>
      <c r="M262" s="95">
        <v>8.0100000000000005E-2</v>
      </c>
      <c r="N262" s="95">
        <v>8.0299999999999996E-2</v>
      </c>
      <c r="O262" s="95">
        <v>8.0600000000000005E-2</v>
      </c>
      <c r="Q262">
        <v>785</v>
      </c>
      <c r="R262">
        <v>787</v>
      </c>
      <c r="S262">
        <v>789</v>
      </c>
      <c r="T262" s="89">
        <v>791</v>
      </c>
      <c r="U262" s="89">
        <v>793</v>
      </c>
      <c r="V262" s="89">
        <v>795</v>
      </c>
      <c r="W262" s="89">
        <v>797</v>
      </c>
      <c r="X262" s="89">
        <v>799</v>
      </c>
      <c r="Y262" s="89">
        <v>801</v>
      </c>
      <c r="Z262" s="89">
        <v>803</v>
      </c>
      <c r="AA262" s="89">
        <v>806</v>
      </c>
    </row>
    <row r="263" spans="2:27" ht="15.75" thickBot="1">
      <c r="B263" s="54"/>
      <c r="C263" s="91">
        <v>64</v>
      </c>
      <c r="D263" s="95">
        <v>8.0799999999999997E-2</v>
      </c>
      <c r="E263" s="95">
        <v>8.1000000000000003E-2</v>
      </c>
      <c r="F263" s="95">
        <v>8.1199999999999994E-2</v>
      </c>
      <c r="G263" s="95">
        <v>8.14E-2</v>
      </c>
      <c r="H263" s="95">
        <v>8.1699999999999995E-2</v>
      </c>
      <c r="I263" s="95">
        <v>8.1900000000000001E-2</v>
      </c>
      <c r="J263" s="95">
        <v>8.2100000000000006E-2</v>
      </c>
      <c r="K263" s="95">
        <v>8.2299999999999998E-2</v>
      </c>
      <c r="L263" s="95">
        <v>8.2600000000000007E-2</v>
      </c>
      <c r="M263" s="95">
        <v>8.2799999999999999E-2</v>
      </c>
      <c r="N263" s="95">
        <v>8.3000000000000004E-2</v>
      </c>
      <c r="O263" s="95">
        <v>8.3199999999999996E-2</v>
      </c>
      <c r="Q263">
        <v>810</v>
      </c>
      <c r="R263">
        <v>812</v>
      </c>
      <c r="S263">
        <v>814</v>
      </c>
      <c r="T263" s="89">
        <v>817</v>
      </c>
      <c r="U263" s="89">
        <v>819</v>
      </c>
      <c r="V263" s="89">
        <v>821</v>
      </c>
      <c r="W263" s="89">
        <v>823</v>
      </c>
      <c r="X263" s="89">
        <v>826</v>
      </c>
      <c r="Y263" s="89">
        <v>828</v>
      </c>
      <c r="Z263" s="89">
        <v>830</v>
      </c>
      <c r="AA263" s="89">
        <v>832</v>
      </c>
    </row>
    <row r="264" spans="2:27"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</row>
    <row r="265" spans="2:27">
      <c r="B265" s="54"/>
      <c r="C265" s="54" t="s">
        <v>80</v>
      </c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</row>
    <row r="266" spans="2:27">
      <c r="B266" s="54"/>
      <c r="C266" s="54" t="s">
        <v>168</v>
      </c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</row>
    <row r="267" spans="2:27">
      <c r="B267" s="54"/>
      <c r="C267" s="54" t="s">
        <v>169</v>
      </c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</row>
    <row r="268" spans="2:27">
      <c r="B268" s="54"/>
      <c r="C268" s="89" t="s">
        <v>170</v>
      </c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</row>
    <row r="269" spans="2:27">
      <c r="C269" s="54" t="s">
        <v>171</v>
      </c>
    </row>
    <row r="270" spans="2:27">
      <c r="C270" s="54" t="s">
        <v>172</v>
      </c>
    </row>
    <row r="271" spans="2:27">
      <c r="C271" s="54" t="s">
        <v>173</v>
      </c>
    </row>
    <row r="274" spans="3:15">
      <c r="C274" s="54" t="s">
        <v>174</v>
      </c>
      <c r="E274" s="54" t="s">
        <v>175</v>
      </c>
      <c r="J274" s="98" t="s">
        <v>177</v>
      </c>
    </row>
    <row r="275" spans="3:15">
      <c r="E275" s="54" t="s">
        <v>176</v>
      </c>
    </row>
    <row r="276" spans="3:15" ht="15.75" thickBot="1"/>
    <row r="277" spans="3:15" ht="15.75" thickBot="1">
      <c r="C277" s="72" t="s">
        <v>146</v>
      </c>
      <c r="D277" s="73">
        <v>0</v>
      </c>
      <c r="E277" s="73">
        <v>1</v>
      </c>
      <c r="F277" s="73">
        <v>2</v>
      </c>
      <c r="G277" s="73">
        <v>3</v>
      </c>
      <c r="H277" s="73">
        <v>4</v>
      </c>
      <c r="I277" s="73">
        <v>5</v>
      </c>
      <c r="J277" s="73">
        <v>6</v>
      </c>
      <c r="K277" s="73">
        <v>7</v>
      </c>
      <c r="L277" s="73">
        <v>8</v>
      </c>
      <c r="M277" s="73">
        <v>9</v>
      </c>
      <c r="N277" s="73">
        <v>10</v>
      </c>
      <c r="O277" s="73">
        <v>11</v>
      </c>
    </row>
    <row r="278" spans="3:15" ht="15.75" thickBot="1">
      <c r="C278" s="187" t="s">
        <v>147</v>
      </c>
      <c r="D278" s="188"/>
      <c r="E278" s="188"/>
      <c r="F278" s="188"/>
      <c r="G278" s="188"/>
      <c r="H278" s="188"/>
      <c r="I278" s="188"/>
      <c r="J278" s="188"/>
      <c r="K278" s="188"/>
      <c r="L278" s="188"/>
      <c r="M278" s="188"/>
      <c r="N278" s="188"/>
      <c r="O278" s="189"/>
    </row>
    <row r="279" spans="3:15" ht="15.75" thickBot="1">
      <c r="C279" s="74" t="s">
        <v>73</v>
      </c>
      <c r="D279" s="75"/>
      <c r="E279" s="75"/>
      <c r="F279" s="75"/>
      <c r="G279" s="75"/>
      <c r="H279" s="75"/>
      <c r="I279" s="75"/>
      <c r="J279" s="75"/>
      <c r="K279" s="75"/>
      <c r="L279" s="75"/>
      <c r="M279" s="75"/>
      <c r="N279" s="75"/>
      <c r="O279" s="75"/>
    </row>
    <row r="280" spans="3:15" ht="15.75" thickBot="1">
      <c r="C280" s="76">
        <v>0</v>
      </c>
      <c r="D280" s="77">
        <v>1</v>
      </c>
      <c r="E280" s="77">
        <v>0.99547564427830859</v>
      </c>
      <c r="F280" s="77">
        <v>0.99095128855661729</v>
      </c>
      <c r="G280" s="77">
        <v>0.986426932834926</v>
      </c>
      <c r="H280" s="77">
        <v>0.98190257711323459</v>
      </c>
      <c r="I280" s="77">
        <v>0.97737822139154318</v>
      </c>
      <c r="J280" s="77">
        <v>0.97285386566985188</v>
      </c>
      <c r="K280" s="77">
        <v>0.96832950994816058</v>
      </c>
      <c r="L280" s="77">
        <v>0.96380515422646917</v>
      </c>
      <c r="M280" s="77">
        <v>0.95928079850477777</v>
      </c>
      <c r="N280" s="77">
        <v>0.95475644278308647</v>
      </c>
      <c r="O280" s="77">
        <v>0.95023208706139517</v>
      </c>
    </row>
    <row r="281" spans="3:15" ht="15.75" thickBot="1">
      <c r="C281" s="76">
        <v>1</v>
      </c>
      <c r="D281" s="77">
        <v>0.94570773133970376</v>
      </c>
      <c r="E281" s="77">
        <v>0.94153620329061805</v>
      </c>
      <c r="F281" s="77">
        <v>0.93736467524153233</v>
      </c>
      <c r="G281" s="77">
        <v>0.93319314719244661</v>
      </c>
      <c r="H281" s="77">
        <v>0.9290216191433609</v>
      </c>
      <c r="I281" s="77">
        <v>0.92485009109427518</v>
      </c>
      <c r="J281" s="77">
        <v>0.92067856304518947</v>
      </c>
      <c r="K281" s="77">
        <v>0.91650703499610364</v>
      </c>
      <c r="L281" s="77">
        <v>0.91233550694701793</v>
      </c>
      <c r="M281" s="77">
        <v>0.90816397889793221</v>
      </c>
      <c r="N281" s="77">
        <v>0.9039924508488465</v>
      </c>
      <c r="O281" s="77">
        <v>0.89982092279976078</v>
      </c>
    </row>
    <row r="282" spans="3:15" ht="15.75" thickBot="1">
      <c r="C282" s="76">
        <v>2</v>
      </c>
      <c r="D282" s="77">
        <v>0.89564939475067507</v>
      </c>
      <c r="E282" s="77">
        <v>0.89179384931101258</v>
      </c>
      <c r="F282" s="77">
        <v>0.88793830387135009</v>
      </c>
      <c r="G282" s="77">
        <v>0.8840827584316876</v>
      </c>
      <c r="H282" s="77">
        <v>0.88022721299202511</v>
      </c>
      <c r="I282" s="77">
        <v>0.87637166755236262</v>
      </c>
      <c r="J282" s="77">
        <v>0.87251612211270013</v>
      </c>
      <c r="K282" s="77">
        <v>0.86866057667303764</v>
      </c>
      <c r="L282" s="77">
        <v>0.86480503123337515</v>
      </c>
      <c r="M282" s="77">
        <v>0.86094948579371267</v>
      </c>
      <c r="N282" s="77">
        <v>0.85709394035405018</v>
      </c>
      <c r="O282" s="77">
        <v>0.85323839491438769</v>
      </c>
    </row>
    <row r="283" spans="3:15" ht="15.75" thickBot="1">
      <c r="C283" s="76">
        <v>3</v>
      </c>
      <c r="D283" s="77">
        <v>0.8493828494747252</v>
      </c>
      <c r="E283" s="77">
        <v>0.84581145081212417</v>
      </c>
      <c r="F283" s="77">
        <v>0.84224005214952324</v>
      </c>
      <c r="G283" s="77">
        <v>0.83866865348692221</v>
      </c>
      <c r="H283" s="77">
        <v>0.83509725482432129</v>
      </c>
      <c r="I283" s="77">
        <v>0.83152585616172026</v>
      </c>
      <c r="J283" s="77">
        <v>0.82795445749911933</v>
      </c>
      <c r="K283" s="77">
        <v>0.8243830588365183</v>
      </c>
      <c r="L283" s="77">
        <v>0.82081166017391727</v>
      </c>
      <c r="M283" s="77">
        <v>0.81724026151131635</v>
      </c>
      <c r="N283" s="77">
        <v>0.81366886284871531</v>
      </c>
      <c r="O283" s="77">
        <v>0.81009746418611439</v>
      </c>
    </row>
    <row r="284" spans="3:15" ht="15.75" thickBot="1">
      <c r="C284" s="76">
        <v>4</v>
      </c>
      <c r="D284" s="77">
        <v>0.80652606552351336</v>
      </c>
      <c r="E284" s="77">
        <v>0.80321115978798441</v>
      </c>
      <c r="F284" s="77">
        <v>0.79989625405245546</v>
      </c>
      <c r="G284" s="77">
        <v>0.7965813483169264</v>
      </c>
      <c r="H284" s="77">
        <v>0.79326644258139745</v>
      </c>
      <c r="I284" s="77">
        <v>0.7899515368458685</v>
      </c>
      <c r="J284" s="77">
        <v>0.78663663111033955</v>
      </c>
      <c r="K284" s="77">
        <v>0.7833217253748106</v>
      </c>
      <c r="L284" s="77">
        <v>0.78000681963928165</v>
      </c>
      <c r="M284" s="77">
        <v>0.7766919139037527</v>
      </c>
      <c r="N284" s="77">
        <v>0.77337700816822363</v>
      </c>
      <c r="O284" s="77">
        <v>0.77006210243269468</v>
      </c>
    </row>
    <row r="285" spans="3:15" ht="15.75" thickBot="1">
      <c r="C285" s="76">
        <v>5</v>
      </c>
      <c r="D285" s="77">
        <v>0.76674719669716573</v>
      </c>
      <c r="E285" s="77">
        <v>0.76366342386491604</v>
      </c>
      <c r="F285" s="77">
        <v>0.76057965103266623</v>
      </c>
      <c r="G285" s="77">
        <v>0.75749587820041653</v>
      </c>
      <c r="H285" s="77">
        <v>0.75441210536816683</v>
      </c>
      <c r="I285" s="77">
        <v>0.75132833253591702</v>
      </c>
      <c r="J285" s="77">
        <v>0.74824455970366732</v>
      </c>
      <c r="K285" s="77">
        <v>0.74516078687141762</v>
      </c>
      <c r="L285" s="77">
        <v>0.74207701403916781</v>
      </c>
      <c r="M285" s="77">
        <v>0.73899324120691812</v>
      </c>
      <c r="N285" s="77">
        <v>0.73590946837466842</v>
      </c>
      <c r="O285" s="77">
        <v>0.73282569554241861</v>
      </c>
    </row>
    <row r="286" spans="3:15" ht="15.75" thickBot="1">
      <c r="C286" s="76">
        <v>6</v>
      </c>
      <c r="D286" s="77">
        <v>0.72974192271016891</v>
      </c>
      <c r="E286" s="77">
        <v>0.72686886525797612</v>
      </c>
      <c r="F286" s="77">
        <v>0.72399580780578343</v>
      </c>
      <c r="G286" s="77">
        <v>0.72112275035359064</v>
      </c>
      <c r="H286" s="77">
        <v>0.71824969290139784</v>
      </c>
      <c r="I286" s="77">
        <v>0.71537663544920516</v>
      </c>
      <c r="J286" s="77">
        <v>0.71250357799701236</v>
      </c>
      <c r="K286" s="77">
        <v>0.70963052054481957</v>
      </c>
      <c r="L286" s="77">
        <v>0.70675746309262688</v>
      </c>
      <c r="M286" s="77">
        <v>0.70388440564043409</v>
      </c>
      <c r="N286" s="77">
        <v>0.70101134818824129</v>
      </c>
      <c r="O286" s="77">
        <v>0.69813829073604861</v>
      </c>
    </row>
    <row r="287" spans="3:15" ht="15.75" thickBot="1">
      <c r="C287" s="76">
        <v>7</v>
      </c>
      <c r="D287" s="77">
        <v>0.69526523328385581</v>
      </c>
      <c r="E287" s="77">
        <v>0.69258361294859194</v>
      </c>
      <c r="F287" s="77">
        <v>0.68990199261332819</v>
      </c>
      <c r="G287" s="77">
        <v>0.68722037227806432</v>
      </c>
      <c r="H287" s="77">
        <v>0.68453875194280045</v>
      </c>
      <c r="I287" s="77">
        <v>0.68185713160753669</v>
      </c>
      <c r="J287" s="77">
        <v>0.67917551127227282</v>
      </c>
      <c r="K287" s="77">
        <v>0.67649389093700896</v>
      </c>
      <c r="L287" s="77">
        <v>0.6738122706017452</v>
      </c>
      <c r="M287" s="77">
        <v>0.67113065026648133</v>
      </c>
      <c r="N287" s="77">
        <v>0.66844902993121746</v>
      </c>
      <c r="O287" s="77">
        <v>0.66576740959595371</v>
      </c>
    </row>
    <row r="288" spans="3:15" ht="15.75" thickBot="1">
      <c r="C288" s="76">
        <v>8</v>
      </c>
      <c r="D288" s="77">
        <v>0.66308578926068984</v>
      </c>
      <c r="E288" s="77">
        <v>0.66057878049722285</v>
      </c>
      <c r="F288" s="77">
        <v>0.65807177173375586</v>
      </c>
      <c r="G288" s="77">
        <v>0.65556476297028898</v>
      </c>
      <c r="H288" s="77">
        <v>0.65305775420682199</v>
      </c>
      <c r="I288" s="77">
        <v>0.65055074544335501</v>
      </c>
      <c r="J288" s="77">
        <v>0.64804373667988802</v>
      </c>
      <c r="K288" s="77">
        <v>0.64553672791642103</v>
      </c>
      <c r="L288" s="77">
        <v>0.64302971915295404</v>
      </c>
      <c r="M288" s="77">
        <v>0.64052271038948705</v>
      </c>
      <c r="N288" s="77">
        <v>0.63801570162602017</v>
      </c>
      <c r="O288" s="77">
        <v>0.63550869286255318</v>
      </c>
    </row>
    <row r="289" spans="3:15" ht="15.75" thickBot="1">
      <c r="C289" s="76">
        <v>9</v>
      </c>
      <c r="D289" s="77">
        <v>0.63300168409908619</v>
      </c>
      <c r="E289" s="77">
        <v>0.63065311929921519</v>
      </c>
      <c r="F289" s="77">
        <v>0.62830455449934419</v>
      </c>
      <c r="G289" s="77">
        <v>0.6259559896994733</v>
      </c>
      <c r="H289" s="77">
        <v>0.6236074248996023</v>
      </c>
      <c r="I289" s="77">
        <v>0.6212588600997313</v>
      </c>
      <c r="J289" s="77">
        <v>0.6189102952998603</v>
      </c>
      <c r="K289" s="77">
        <v>0.6165617304999893</v>
      </c>
      <c r="L289" s="77">
        <v>0.6142131657001183</v>
      </c>
      <c r="M289" s="77">
        <v>0.6118646009002473</v>
      </c>
      <c r="N289" s="77">
        <v>0.60951603610037641</v>
      </c>
      <c r="O289" s="77">
        <v>0.60716747130050541</v>
      </c>
    </row>
    <row r="290" spans="3:15" ht="15.75" thickBot="1">
      <c r="C290" s="76">
        <v>10</v>
      </c>
      <c r="D290" s="77">
        <v>0.60481890650063441</v>
      </c>
      <c r="E290" s="77">
        <v>0.60261518273490677</v>
      </c>
      <c r="F290" s="77">
        <v>0.60041145896917913</v>
      </c>
      <c r="G290" s="77">
        <v>0.59820773520345139</v>
      </c>
      <c r="H290" s="77">
        <v>0.59600401143772375</v>
      </c>
      <c r="I290" s="77">
        <v>0.59380028767199611</v>
      </c>
      <c r="J290" s="77">
        <v>0.59159656390626836</v>
      </c>
      <c r="K290" s="77">
        <v>0.58939284014054072</v>
      </c>
      <c r="L290" s="77">
        <v>0.58718911637481308</v>
      </c>
      <c r="M290" s="77">
        <v>0.58498539260908544</v>
      </c>
      <c r="N290" s="77">
        <v>0.5827816688433578</v>
      </c>
      <c r="O290" s="77">
        <v>0.58057794507763005</v>
      </c>
    </row>
    <row r="291" spans="3:15" ht="15.75" thickBot="1">
      <c r="C291" s="76">
        <v>11</v>
      </c>
      <c r="D291" s="77">
        <v>0.57837422131190241</v>
      </c>
      <c r="E291" s="77">
        <v>0.57630315970114199</v>
      </c>
      <c r="F291" s="77">
        <v>0.57423209809038156</v>
      </c>
      <c r="G291" s="77">
        <v>0.57216103647962124</v>
      </c>
      <c r="H291" s="77">
        <v>0.57008997486886082</v>
      </c>
      <c r="I291" s="77">
        <v>0.56801891325810039</v>
      </c>
      <c r="J291" s="77">
        <v>0.56594785164733996</v>
      </c>
      <c r="K291" s="77">
        <v>0.56387679003657953</v>
      </c>
      <c r="L291" s="77">
        <v>0.56180572842581911</v>
      </c>
      <c r="M291" s="77">
        <v>0.55973466681505868</v>
      </c>
      <c r="N291" s="77">
        <v>0.55766360520429836</v>
      </c>
      <c r="O291" s="77">
        <v>0.55559254359353794</v>
      </c>
    </row>
    <row r="292" spans="3:15" ht="15.75" thickBot="1">
      <c r="C292" s="76">
        <v>12</v>
      </c>
      <c r="D292" s="77">
        <v>0.55352148198277751</v>
      </c>
      <c r="E292" s="77">
        <v>0.55157217052290997</v>
      </c>
      <c r="F292" s="77">
        <v>0.54962285906304253</v>
      </c>
      <c r="G292" s="77">
        <v>0.54767354760317499</v>
      </c>
      <c r="H292" s="77">
        <v>0.54572423614330756</v>
      </c>
      <c r="I292" s="77">
        <v>0.54377492468344002</v>
      </c>
      <c r="J292" s="77">
        <v>0.54182561322357259</v>
      </c>
      <c r="K292" s="77">
        <v>0.53987630176370505</v>
      </c>
      <c r="L292" s="77">
        <v>0.5379269903038375</v>
      </c>
      <c r="M292" s="77">
        <v>0.53597767884397007</v>
      </c>
      <c r="N292" s="77">
        <v>0.53402836738410253</v>
      </c>
      <c r="O292" s="77">
        <v>0.5320790559242351</v>
      </c>
    </row>
  </sheetData>
  <sheetProtection password="CD6C" sheet="1" objects="1" scenarios="1"/>
  <mergeCells count="26">
    <mergeCell ref="C68:O68"/>
    <mergeCell ref="D43:O43"/>
    <mergeCell ref="B45:B59"/>
    <mergeCell ref="D25:O25"/>
    <mergeCell ref="D26:O26"/>
    <mergeCell ref="B28:B37"/>
    <mergeCell ref="B2:O2"/>
    <mergeCell ref="B41:O41"/>
    <mergeCell ref="D42:O42"/>
    <mergeCell ref="B4:O4"/>
    <mergeCell ref="D5:O5"/>
    <mergeCell ref="D6:O6"/>
    <mergeCell ref="B8:B17"/>
    <mergeCell ref="B24:O24"/>
    <mergeCell ref="C278:O278"/>
    <mergeCell ref="C82:O82"/>
    <mergeCell ref="C92:P92"/>
    <mergeCell ref="C93:P93"/>
    <mergeCell ref="C95:O95"/>
    <mergeCell ref="C83:O83"/>
    <mergeCell ref="C84:O84"/>
    <mergeCell ref="C85:O85"/>
    <mergeCell ref="C90:P90"/>
    <mergeCell ref="C91:P91"/>
    <mergeCell ref="C213:O213"/>
    <mergeCell ref="C154:O154"/>
  </mergeCells>
  <pageMargins left="0.70866141732283472" right="0.70866141732283472" top="0.74803149606299213" bottom="0.74803149606299213" header="0.31496062992125984" footer="0.31496062992125984"/>
  <pageSetup paperSize="9" scale="54" fitToHeight="2" orientation="landscape" r:id="rId1"/>
  <headerFooter>
    <oddFooter>&amp;L&amp;F</oddFooter>
  </headerFooter>
  <rowBreaks count="2" manualBreakCount="2">
    <brk id="39" max="16383" man="1"/>
    <brk id="88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>
    <tabColor theme="1"/>
    <pageSetUpPr fitToPage="1"/>
  </sheetPr>
  <dimension ref="B2:O48"/>
  <sheetViews>
    <sheetView view="pageBreakPreview" topLeftCell="A7" zoomScale="60" zoomScaleNormal="100" workbookViewId="0">
      <selection activeCell="G22" sqref="G22"/>
    </sheetView>
  </sheetViews>
  <sheetFormatPr defaultRowHeight="15"/>
  <cols>
    <col min="2" max="2" width="3.7109375" bestFit="1" customWidth="1"/>
    <col min="7" max="7" width="9.5703125" bestFit="1" customWidth="1"/>
  </cols>
  <sheetData>
    <row r="2" spans="2:15">
      <c r="C2" s="205" t="s">
        <v>78</v>
      </c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</row>
    <row r="4" spans="2:15" ht="33.75" customHeight="1">
      <c r="B4" s="199" t="s">
        <v>79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1"/>
    </row>
    <row r="5" spans="2:15">
      <c r="B5" s="27" t="s">
        <v>89</v>
      </c>
      <c r="C5" s="28"/>
      <c r="D5" s="203" t="s">
        <v>92</v>
      </c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</row>
    <row r="6" spans="2:15">
      <c r="B6" s="24"/>
      <c r="C6" s="25"/>
      <c r="D6" s="205" t="s">
        <v>76</v>
      </c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</row>
    <row r="7" spans="2:15">
      <c r="B7" s="26"/>
      <c r="C7" s="23"/>
      <c r="D7" s="21">
        <v>0</v>
      </c>
      <c r="E7" s="21">
        <v>1</v>
      </c>
      <c r="F7" s="21">
        <v>2</v>
      </c>
      <c r="G7" s="21">
        <v>3</v>
      </c>
      <c r="H7" s="21">
        <v>4</v>
      </c>
      <c r="I7" s="21">
        <v>5</v>
      </c>
      <c r="J7" s="21">
        <v>6</v>
      </c>
      <c r="K7" s="21">
        <v>7</v>
      </c>
      <c r="L7" s="21">
        <v>8</v>
      </c>
      <c r="M7" s="21">
        <v>9</v>
      </c>
      <c r="N7" s="21">
        <v>10</v>
      </c>
      <c r="O7" s="21">
        <v>11</v>
      </c>
    </row>
    <row r="8" spans="2:15" ht="15" customHeight="1">
      <c r="B8" s="207" t="s">
        <v>77</v>
      </c>
      <c r="C8" s="21">
        <v>50</v>
      </c>
      <c r="D8" s="22">
        <v>23.116</v>
      </c>
      <c r="E8" s="22">
        <v>23.097999999999999</v>
      </c>
      <c r="F8" s="22">
        <v>23.079000000000001</v>
      </c>
      <c r="G8" s="22">
        <v>23.06</v>
      </c>
      <c r="H8" s="22">
        <v>23.042000000000002</v>
      </c>
      <c r="I8" s="22">
        <v>23.023</v>
      </c>
      <c r="J8" s="22">
        <v>23.004000000000001</v>
      </c>
      <c r="K8" s="22">
        <v>22.986000000000001</v>
      </c>
      <c r="L8" s="22">
        <v>22.966999999999999</v>
      </c>
      <c r="M8" s="22">
        <v>22.948</v>
      </c>
      <c r="N8" s="22">
        <v>22.93</v>
      </c>
      <c r="O8" s="22">
        <v>22.911000000000001</v>
      </c>
    </row>
    <row r="9" spans="2:15">
      <c r="B9" s="208"/>
      <c r="C9" s="21">
        <v>51</v>
      </c>
      <c r="D9" s="22">
        <v>22.890999999999998</v>
      </c>
      <c r="E9" s="22">
        <v>22.870999999999999</v>
      </c>
      <c r="F9" s="22">
        <v>22.85</v>
      </c>
      <c r="G9" s="22">
        <v>22.83</v>
      </c>
      <c r="H9" s="22">
        <v>22.809000000000001</v>
      </c>
      <c r="I9" s="22">
        <v>22.789000000000001</v>
      </c>
      <c r="J9" s="22">
        <v>22.768999999999998</v>
      </c>
      <c r="K9" s="22">
        <v>22.748000000000001</v>
      </c>
      <c r="L9" s="22">
        <v>22.728000000000002</v>
      </c>
      <c r="M9" s="22">
        <v>22.707000000000001</v>
      </c>
      <c r="N9" s="22">
        <v>22.687000000000001</v>
      </c>
      <c r="O9" s="22">
        <v>22.666</v>
      </c>
    </row>
    <row r="10" spans="2:15">
      <c r="B10" s="208"/>
      <c r="C10" s="21">
        <v>52</v>
      </c>
      <c r="D10" s="22">
        <v>22.645</v>
      </c>
      <c r="E10" s="22">
        <v>22.622</v>
      </c>
      <c r="F10" s="22">
        <v>22.6</v>
      </c>
      <c r="G10" s="22">
        <v>22.577999999999999</v>
      </c>
      <c r="H10" s="22">
        <v>22.555</v>
      </c>
      <c r="I10" s="22">
        <v>22.533000000000001</v>
      </c>
      <c r="J10" s="22">
        <v>22.510999999999999</v>
      </c>
      <c r="K10" s="22">
        <v>22.488</v>
      </c>
      <c r="L10" s="22">
        <v>22.466000000000001</v>
      </c>
      <c r="M10" s="22">
        <v>22.443999999999999</v>
      </c>
      <c r="N10" s="22">
        <v>22.420999999999999</v>
      </c>
      <c r="O10" s="22">
        <v>22.399000000000001</v>
      </c>
    </row>
    <row r="11" spans="2:15">
      <c r="B11" s="208"/>
      <c r="C11" s="21">
        <v>53</v>
      </c>
      <c r="D11" s="22">
        <v>22.376000000000001</v>
      </c>
      <c r="E11" s="22">
        <v>22.350999999999999</v>
      </c>
      <c r="F11" s="22">
        <v>22.327000000000002</v>
      </c>
      <c r="G11" s="22">
        <v>22.303000000000001</v>
      </c>
      <c r="H11" s="22">
        <v>22.277999999999999</v>
      </c>
      <c r="I11" s="22">
        <v>22.254000000000001</v>
      </c>
      <c r="J11" s="22">
        <v>22.23</v>
      </c>
      <c r="K11" s="22">
        <v>22.204999999999998</v>
      </c>
      <c r="L11" s="22">
        <v>22.181000000000001</v>
      </c>
      <c r="M11" s="22">
        <v>22.157</v>
      </c>
      <c r="N11" s="22">
        <v>22.132000000000001</v>
      </c>
      <c r="O11" s="22">
        <v>22.108000000000001</v>
      </c>
    </row>
    <row r="12" spans="2:15">
      <c r="B12" s="208"/>
      <c r="C12" s="21">
        <v>54</v>
      </c>
      <c r="D12" s="22">
        <v>22.082000000000001</v>
      </c>
      <c r="E12" s="22">
        <v>22.056000000000001</v>
      </c>
      <c r="F12" s="22">
        <v>22.029</v>
      </c>
      <c r="G12" s="22">
        <v>22.003</v>
      </c>
      <c r="H12" s="22">
        <v>21.975999999999999</v>
      </c>
      <c r="I12" s="22">
        <v>21.95</v>
      </c>
      <c r="J12" s="22">
        <v>21.922999999999998</v>
      </c>
      <c r="K12" s="22">
        <v>21.896999999999998</v>
      </c>
      <c r="L12" s="22">
        <v>21.87</v>
      </c>
      <c r="M12" s="22">
        <v>21.844000000000001</v>
      </c>
      <c r="N12" s="22">
        <v>21.817</v>
      </c>
      <c r="O12" s="22">
        <v>21.791</v>
      </c>
    </row>
    <row r="13" spans="2:15">
      <c r="B13" s="208"/>
      <c r="C13" s="21">
        <v>55</v>
      </c>
      <c r="D13" s="22">
        <v>21.762</v>
      </c>
      <c r="E13" s="22">
        <v>21.733000000000001</v>
      </c>
      <c r="F13" s="22">
        <v>21.702999999999999</v>
      </c>
      <c r="G13" s="22">
        <v>21.672999999999998</v>
      </c>
      <c r="H13" s="22">
        <v>21.643999999999998</v>
      </c>
      <c r="I13" s="22">
        <v>21.614000000000001</v>
      </c>
      <c r="J13" s="22">
        <v>21.584</v>
      </c>
      <c r="K13" s="22">
        <v>21.555</v>
      </c>
      <c r="L13" s="22">
        <v>21.524999999999999</v>
      </c>
      <c r="M13" s="22">
        <v>21.495000000000001</v>
      </c>
      <c r="N13" s="22">
        <v>21.466000000000001</v>
      </c>
      <c r="O13" s="22">
        <v>21.436</v>
      </c>
    </row>
    <row r="14" spans="2:15">
      <c r="B14" s="208"/>
      <c r="C14" s="21">
        <v>56</v>
      </c>
      <c r="D14" s="22">
        <v>21.405999999999999</v>
      </c>
      <c r="E14" s="22">
        <v>21.375</v>
      </c>
      <c r="F14" s="22">
        <v>21.344999999999999</v>
      </c>
      <c r="G14" s="22">
        <v>21.315000000000001</v>
      </c>
      <c r="H14" s="22">
        <v>21.283999999999999</v>
      </c>
      <c r="I14" s="22">
        <v>21.254000000000001</v>
      </c>
      <c r="J14" s="22">
        <v>21.222999999999999</v>
      </c>
      <c r="K14" s="22">
        <v>21.193000000000001</v>
      </c>
      <c r="L14" s="22">
        <v>21.163</v>
      </c>
      <c r="M14" s="22">
        <v>21.132000000000001</v>
      </c>
      <c r="N14" s="22">
        <v>21.102</v>
      </c>
      <c r="O14" s="22">
        <v>21.071999999999999</v>
      </c>
    </row>
    <row r="15" spans="2:15">
      <c r="B15" s="208"/>
      <c r="C15" s="21">
        <v>57</v>
      </c>
      <c r="D15" s="22">
        <v>21.041</v>
      </c>
      <c r="E15" s="22">
        <v>21.01</v>
      </c>
      <c r="F15" s="22">
        <v>20.978000000000002</v>
      </c>
      <c r="G15" s="22">
        <v>20.946999999999999</v>
      </c>
      <c r="H15" s="22">
        <v>20.916</v>
      </c>
      <c r="I15" s="22">
        <v>20.885000000000002</v>
      </c>
      <c r="J15" s="22">
        <v>20.853999999999999</v>
      </c>
      <c r="K15" s="22">
        <v>20.823</v>
      </c>
      <c r="L15" s="22">
        <v>20.792000000000002</v>
      </c>
      <c r="M15" s="22">
        <v>20.760999999999999</v>
      </c>
      <c r="N15" s="22">
        <v>20.728999999999999</v>
      </c>
      <c r="O15" s="22">
        <v>20.698</v>
      </c>
    </row>
    <row r="16" spans="2:15">
      <c r="B16" s="208"/>
      <c r="C16" s="21">
        <v>58</v>
      </c>
      <c r="D16" s="22">
        <v>20.667000000000002</v>
      </c>
      <c r="E16" s="22">
        <v>20.635000000000002</v>
      </c>
      <c r="F16" s="22">
        <v>20.603000000000002</v>
      </c>
      <c r="G16" s="22">
        <v>20.571000000000002</v>
      </c>
      <c r="H16" s="22">
        <v>20.539000000000001</v>
      </c>
      <c r="I16" s="22">
        <v>20.507000000000001</v>
      </c>
      <c r="J16" s="22">
        <v>20.475999999999999</v>
      </c>
      <c r="K16" s="22">
        <v>20.443999999999999</v>
      </c>
      <c r="L16" s="22">
        <v>20.411999999999999</v>
      </c>
      <c r="M16" s="22">
        <v>20.38</v>
      </c>
      <c r="N16" s="22">
        <v>20.347999999999999</v>
      </c>
      <c r="O16" s="22">
        <v>20.315999999999999</v>
      </c>
    </row>
    <row r="17" spans="2:15">
      <c r="B17" s="208"/>
      <c r="C17" s="21">
        <v>59</v>
      </c>
      <c r="D17" s="22">
        <v>20.283999999999999</v>
      </c>
      <c r="E17" s="22">
        <v>20.251999999999999</v>
      </c>
      <c r="F17" s="22">
        <v>20.219000000000001</v>
      </c>
      <c r="G17" s="22">
        <v>20.186</v>
      </c>
      <c r="H17" s="22">
        <v>20.154</v>
      </c>
      <c r="I17" s="22">
        <v>20.120999999999999</v>
      </c>
      <c r="J17" s="22">
        <v>20.088999999999999</v>
      </c>
      <c r="K17" s="22">
        <v>20.056000000000001</v>
      </c>
      <c r="L17" s="22">
        <v>20.024000000000001</v>
      </c>
      <c r="M17" s="22">
        <v>19.991</v>
      </c>
      <c r="N17" s="22">
        <v>19.959</v>
      </c>
      <c r="O17" s="22">
        <v>19.925999999999998</v>
      </c>
    </row>
    <row r="18" spans="2:15">
      <c r="B18" s="208"/>
      <c r="C18" s="21">
        <v>60</v>
      </c>
      <c r="D18" s="22">
        <v>19.893000000000001</v>
      </c>
      <c r="E18" s="22">
        <v>19.86</v>
      </c>
      <c r="F18" s="22">
        <v>19.827000000000002</v>
      </c>
      <c r="G18" s="22">
        <v>19.794</v>
      </c>
      <c r="H18" s="22">
        <v>19.760000000000002</v>
      </c>
      <c r="I18" s="22">
        <v>19.727</v>
      </c>
      <c r="J18" s="22">
        <v>19.693999999999999</v>
      </c>
      <c r="K18" s="22">
        <v>19.66</v>
      </c>
      <c r="L18" s="22">
        <v>19.626999999999999</v>
      </c>
      <c r="M18" s="22">
        <v>19.594000000000001</v>
      </c>
      <c r="N18" s="22">
        <v>19.561</v>
      </c>
      <c r="O18" s="22">
        <v>19.527000000000001</v>
      </c>
    </row>
    <row r="19" spans="2:15">
      <c r="B19" s="208"/>
      <c r="C19" s="21">
        <v>61</v>
      </c>
      <c r="D19" s="22">
        <v>19.494</v>
      </c>
      <c r="E19" s="22">
        <v>19.459</v>
      </c>
      <c r="F19" s="22">
        <v>19.425000000000001</v>
      </c>
      <c r="G19" s="22">
        <v>19.390999999999998</v>
      </c>
      <c r="H19" s="22">
        <v>19.356999999999999</v>
      </c>
      <c r="I19" s="22">
        <v>19.323</v>
      </c>
      <c r="J19" s="22">
        <v>19.289000000000001</v>
      </c>
      <c r="K19" s="22">
        <v>19.254999999999999</v>
      </c>
      <c r="L19" s="22">
        <v>19.22</v>
      </c>
      <c r="M19" s="22">
        <v>19.186</v>
      </c>
      <c r="N19" s="22">
        <v>19.152000000000001</v>
      </c>
      <c r="O19" s="22">
        <v>19.117999999999999</v>
      </c>
    </row>
    <row r="20" spans="2:15">
      <c r="B20" s="208"/>
      <c r="C20" s="21">
        <v>62</v>
      </c>
      <c r="D20" s="22">
        <v>19.084</v>
      </c>
      <c r="E20" s="22">
        <v>19.048999999999999</v>
      </c>
      <c r="F20" s="22">
        <v>19.013999999999999</v>
      </c>
      <c r="G20" s="22">
        <v>18.978999999999999</v>
      </c>
      <c r="H20" s="22">
        <v>18.943999999999999</v>
      </c>
      <c r="I20" s="22">
        <v>18.91</v>
      </c>
      <c r="J20" s="22">
        <v>18.875</v>
      </c>
      <c r="K20" s="22">
        <v>18.84</v>
      </c>
      <c r="L20" s="22">
        <v>18.805</v>
      </c>
      <c r="M20" s="22">
        <v>18.77</v>
      </c>
      <c r="N20" s="22">
        <v>18.736000000000001</v>
      </c>
      <c r="O20" s="22">
        <v>18.701000000000001</v>
      </c>
    </row>
    <row r="21" spans="2:15">
      <c r="B21" s="208"/>
      <c r="C21" s="21">
        <v>63</v>
      </c>
      <c r="D21" s="22">
        <v>18.666</v>
      </c>
      <c r="E21" s="22">
        <v>18.63</v>
      </c>
      <c r="F21" s="22">
        <v>18.594999999999999</v>
      </c>
      <c r="G21" s="22">
        <v>18.559000000000001</v>
      </c>
      <c r="H21" s="22">
        <v>18.524000000000001</v>
      </c>
      <c r="I21" s="22">
        <v>18.488</v>
      </c>
      <c r="J21" s="22">
        <v>18.452999999999999</v>
      </c>
      <c r="K21" s="22">
        <v>18.417000000000002</v>
      </c>
      <c r="L21" s="22">
        <v>18.382000000000001</v>
      </c>
      <c r="M21" s="22">
        <v>18.346</v>
      </c>
      <c r="N21" s="22">
        <v>18.311</v>
      </c>
      <c r="O21" s="22">
        <v>18.274999999999999</v>
      </c>
    </row>
    <row r="22" spans="2:15">
      <c r="B22" s="208"/>
      <c r="C22" s="21">
        <v>64</v>
      </c>
      <c r="D22" s="22">
        <v>18.239000000000001</v>
      </c>
      <c r="E22" s="22">
        <v>18.202999999999999</v>
      </c>
      <c r="F22" s="22">
        <v>18.167000000000002</v>
      </c>
      <c r="G22" s="22">
        <v>18.13</v>
      </c>
      <c r="H22" s="22">
        <v>18.094000000000001</v>
      </c>
      <c r="I22" s="22">
        <v>18.058</v>
      </c>
      <c r="J22" s="22">
        <v>18.021000000000001</v>
      </c>
      <c r="K22" s="22">
        <v>17.984999999999999</v>
      </c>
      <c r="L22" s="22">
        <v>17.949000000000002</v>
      </c>
      <c r="M22" s="22">
        <v>17.911999999999999</v>
      </c>
      <c r="N22" s="22">
        <v>17.876000000000001</v>
      </c>
      <c r="O22" s="22">
        <v>17.84</v>
      </c>
    </row>
    <row r="23" spans="2:15">
      <c r="B23" s="208"/>
      <c r="C23" s="21">
        <v>65</v>
      </c>
      <c r="D23" s="22">
        <v>17.803000000000001</v>
      </c>
      <c r="E23" s="22">
        <v>17.765999999999998</v>
      </c>
      <c r="F23" s="22">
        <v>17.728999999999999</v>
      </c>
      <c r="G23" s="22">
        <v>17.692</v>
      </c>
      <c r="H23" s="22">
        <v>17.654</v>
      </c>
      <c r="I23" s="22">
        <v>17.617000000000001</v>
      </c>
      <c r="J23" s="22">
        <v>17.579999999999998</v>
      </c>
      <c r="K23" s="22">
        <v>17.542999999999999</v>
      </c>
      <c r="L23" s="22">
        <v>17.506</v>
      </c>
      <c r="M23" s="22">
        <v>17.469000000000001</v>
      </c>
      <c r="N23" s="22">
        <v>17.431000000000001</v>
      </c>
      <c r="O23" s="22">
        <v>17.393999999999998</v>
      </c>
    </row>
    <row r="24" spans="2:15">
      <c r="B24" s="208"/>
      <c r="C24" s="21">
        <v>66</v>
      </c>
      <c r="D24" s="22">
        <v>17.356999999999999</v>
      </c>
      <c r="E24" s="22">
        <v>17.318999999999999</v>
      </c>
      <c r="F24" s="22">
        <v>17.280999999999999</v>
      </c>
      <c r="G24" s="22">
        <v>17.242999999999999</v>
      </c>
      <c r="H24" s="22">
        <v>17.204999999999998</v>
      </c>
      <c r="I24" s="22">
        <v>17.167000000000002</v>
      </c>
      <c r="J24" s="22">
        <v>17.129000000000001</v>
      </c>
      <c r="K24" s="22">
        <v>17.091000000000001</v>
      </c>
      <c r="L24" s="22">
        <v>17.053000000000001</v>
      </c>
      <c r="M24" s="22">
        <v>17.015000000000001</v>
      </c>
      <c r="N24" s="22">
        <v>16.997</v>
      </c>
      <c r="O24" s="22">
        <v>16.939</v>
      </c>
    </row>
    <row r="25" spans="2:15">
      <c r="B25" s="209"/>
      <c r="C25" s="21">
        <v>67</v>
      </c>
      <c r="D25" s="22">
        <v>16.899999999999999</v>
      </c>
      <c r="E25" s="22">
        <v>16.861000000000001</v>
      </c>
      <c r="F25" s="22">
        <v>16.823</v>
      </c>
      <c r="G25" s="22">
        <v>16.783999999999999</v>
      </c>
      <c r="H25" s="22">
        <v>16.745000000000001</v>
      </c>
      <c r="I25" s="22">
        <v>16.706</v>
      </c>
      <c r="J25" s="22">
        <v>16.667000000000002</v>
      </c>
      <c r="K25" s="22">
        <v>16.628</v>
      </c>
      <c r="L25" s="22">
        <v>16.59</v>
      </c>
      <c r="M25" s="22">
        <v>16.550999999999998</v>
      </c>
      <c r="N25" s="22">
        <v>16.512</v>
      </c>
      <c r="O25" s="22">
        <v>16.472999999999999</v>
      </c>
    </row>
    <row r="26" spans="2:15">
      <c r="C26" t="s">
        <v>80</v>
      </c>
    </row>
    <row r="27" spans="2:15">
      <c r="C27" t="s">
        <v>81</v>
      </c>
      <c r="D27" t="s">
        <v>82</v>
      </c>
    </row>
    <row r="28" spans="2:15">
      <c r="C28" t="s">
        <v>84</v>
      </c>
      <c r="D28" t="s">
        <v>83</v>
      </c>
    </row>
    <row r="29" spans="2:15">
      <c r="C29" t="s">
        <v>85</v>
      </c>
      <c r="D29" t="s">
        <v>86</v>
      </c>
    </row>
    <row r="30" spans="2:15" ht="33.75" customHeight="1">
      <c r="B30" s="211" t="s">
        <v>87</v>
      </c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</row>
    <row r="31" spans="2:15">
      <c r="B31" s="27" t="s">
        <v>88</v>
      </c>
      <c r="C31" s="28"/>
      <c r="D31" s="202" t="s">
        <v>91</v>
      </c>
      <c r="E31" s="202"/>
      <c r="F31" s="202"/>
      <c r="G31" s="202"/>
      <c r="H31" s="202"/>
      <c r="I31" s="202"/>
      <c r="J31" s="202"/>
      <c r="K31" s="202"/>
      <c r="L31" s="202"/>
      <c r="M31" s="202"/>
      <c r="N31" s="202"/>
      <c r="O31" s="202"/>
    </row>
    <row r="32" spans="2:15">
      <c r="B32" s="24"/>
      <c r="C32" s="25"/>
      <c r="D32" s="205" t="s">
        <v>90</v>
      </c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</row>
    <row r="33" spans="2:15">
      <c r="B33" s="26"/>
      <c r="C33" s="23"/>
      <c r="D33" s="21">
        <v>0</v>
      </c>
      <c r="E33" s="21">
        <v>1</v>
      </c>
      <c r="F33" s="21">
        <v>2</v>
      </c>
      <c r="G33" s="21">
        <v>3</v>
      </c>
      <c r="H33" s="21">
        <v>4</v>
      </c>
      <c r="I33" s="21">
        <v>5</v>
      </c>
      <c r="J33" s="21">
        <v>6</v>
      </c>
      <c r="K33" s="21">
        <v>7</v>
      </c>
      <c r="L33" s="21">
        <v>8</v>
      </c>
      <c r="M33" s="21">
        <v>9</v>
      </c>
      <c r="N33" s="21">
        <v>10</v>
      </c>
      <c r="O33" s="21">
        <v>11</v>
      </c>
    </row>
    <row r="34" spans="2:15">
      <c r="B34" s="206" t="s">
        <v>73</v>
      </c>
      <c r="C34" s="21">
        <v>0</v>
      </c>
      <c r="D34" s="22">
        <v>1E-3</v>
      </c>
      <c r="E34" s="22">
        <v>4.0000000000000001E-3</v>
      </c>
      <c r="F34" s="22">
        <v>7.0000000000000001E-3</v>
      </c>
      <c r="G34" s="22">
        <v>8.9999999999999993E-3</v>
      </c>
      <c r="H34" s="22">
        <v>1.2E-2</v>
      </c>
      <c r="I34" s="22">
        <v>1.4999999999999999E-2</v>
      </c>
      <c r="J34" s="22">
        <v>1.7000000000000001E-2</v>
      </c>
      <c r="K34" s="22">
        <v>0.02</v>
      </c>
      <c r="L34" s="22">
        <v>2.3E-2</v>
      </c>
      <c r="M34" s="22">
        <v>2.5999999999999999E-2</v>
      </c>
      <c r="N34" s="22">
        <v>2.8000000000000001E-2</v>
      </c>
      <c r="O34" s="22">
        <v>3.1E-2</v>
      </c>
    </row>
    <row r="35" spans="2:15">
      <c r="B35" s="206"/>
      <c r="C35" s="21">
        <v>1</v>
      </c>
      <c r="D35" s="22">
        <v>3.4000000000000002E-2</v>
      </c>
      <c r="E35" s="22">
        <v>3.5999999999999997E-2</v>
      </c>
      <c r="F35" s="22">
        <v>3.9E-2</v>
      </c>
      <c r="G35" s="22">
        <v>4.1000000000000002E-2</v>
      </c>
      <c r="H35" s="22">
        <v>4.3999999999999997E-2</v>
      </c>
      <c r="I35" s="22">
        <v>4.5999999999999999E-2</v>
      </c>
      <c r="J35" s="22">
        <v>4.9000000000000002E-2</v>
      </c>
      <c r="K35" s="22">
        <v>5.1999999999999998E-2</v>
      </c>
      <c r="L35" s="22">
        <v>5.3999999999999999E-2</v>
      </c>
      <c r="M35" s="22">
        <v>5.7000000000000002E-2</v>
      </c>
      <c r="N35" s="22">
        <v>5.8999999999999997E-2</v>
      </c>
      <c r="O35" s="22">
        <v>6.2E-2</v>
      </c>
    </row>
    <row r="36" spans="2:15">
      <c r="B36" s="206"/>
      <c r="C36" s="21">
        <v>2</v>
      </c>
      <c r="D36" s="22">
        <v>6.4000000000000001E-2</v>
      </c>
      <c r="E36" s="22">
        <v>6.7000000000000004E-2</v>
      </c>
      <c r="F36" s="22">
        <v>6.9000000000000006E-2</v>
      </c>
      <c r="G36" s="22">
        <v>7.1999999999999995E-2</v>
      </c>
      <c r="H36" s="22">
        <v>7.3999999999999996E-2</v>
      </c>
      <c r="I36" s="22">
        <v>7.6999999999999999E-2</v>
      </c>
      <c r="J36" s="22">
        <v>7.9000000000000001E-2</v>
      </c>
      <c r="K36" s="22">
        <v>8.2000000000000003E-2</v>
      </c>
      <c r="L36" s="22">
        <v>8.4000000000000005E-2</v>
      </c>
      <c r="M36" s="22">
        <v>8.6999999999999994E-2</v>
      </c>
      <c r="N36" s="22">
        <v>8.8999999999999996E-2</v>
      </c>
      <c r="O36" s="22">
        <v>9.1999999999999998E-2</v>
      </c>
    </row>
    <row r="37" spans="2:15">
      <c r="B37" s="206"/>
      <c r="C37" s="21">
        <v>3</v>
      </c>
      <c r="D37" s="22">
        <v>9.4E-2</v>
      </c>
      <c r="E37" s="22">
        <v>9.6000000000000002E-2</v>
      </c>
      <c r="F37" s="22">
        <v>9.9000000000000005E-2</v>
      </c>
      <c r="G37" s="22">
        <v>0.10100000000000001</v>
      </c>
      <c r="H37" s="22">
        <v>0.104</v>
      </c>
      <c r="I37" s="22">
        <v>0.106</v>
      </c>
      <c r="J37" s="22">
        <v>0.108</v>
      </c>
      <c r="K37" s="22">
        <v>0.111</v>
      </c>
      <c r="L37" s="22">
        <v>0.113</v>
      </c>
      <c r="M37" s="22">
        <v>0.11600000000000001</v>
      </c>
      <c r="N37" s="22">
        <v>0.11799999999999999</v>
      </c>
      <c r="O37" s="22">
        <v>0.12</v>
      </c>
    </row>
    <row r="38" spans="2:15">
      <c r="B38" s="206"/>
      <c r="C38" s="21">
        <v>4</v>
      </c>
      <c r="D38" s="22">
        <v>0.123</v>
      </c>
      <c r="E38" s="22">
        <v>0.125</v>
      </c>
      <c r="F38" s="22">
        <v>0.127</v>
      </c>
      <c r="G38" s="22">
        <v>0.13</v>
      </c>
      <c r="H38" s="22">
        <v>0.13200000000000001</v>
      </c>
      <c r="I38" s="22">
        <v>0.13400000000000001</v>
      </c>
      <c r="J38" s="22">
        <v>0.13600000000000001</v>
      </c>
      <c r="K38" s="22">
        <v>0.13900000000000001</v>
      </c>
      <c r="L38" s="22">
        <v>0.14099999999999999</v>
      </c>
      <c r="M38" s="22">
        <v>0.14299999999999999</v>
      </c>
      <c r="N38" s="22">
        <v>0.14599999999999999</v>
      </c>
      <c r="O38" s="22">
        <v>0.14799999999999999</v>
      </c>
    </row>
    <row r="39" spans="2:15">
      <c r="B39" s="206"/>
      <c r="C39" s="21">
        <v>5</v>
      </c>
      <c r="D39" s="22">
        <v>0.15</v>
      </c>
      <c r="E39" s="22">
        <v>0.153</v>
      </c>
      <c r="F39" s="22">
        <v>0.155</v>
      </c>
      <c r="G39" s="22">
        <v>0.158</v>
      </c>
      <c r="H39" s="22">
        <v>0.16</v>
      </c>
      <c r="I39" s="22">
        <v>0.16200000000000001</v>
      </c>
      <c r="J39" s="22">
        <v>0.16500000000000001</v>
      </c>
      <c r="K39" s="22">
        <v>0.16700000000000001</v>
      </c>
      <c r="L39" s="22">
        <v>0.17</v>
      </c>
      <c r="M39" s="22">
        <v>0.17199999999999999</v>
      </c>
      <c r="N39" s="22">
        <v>0.17399999999999999</v>
      </c>
      <c r="O39" s="22">
        <v>0.17699999999999999</v>
      </c>
    </row>
    <row r="40" spans="2:15">
      <c r="B40" s="206"/>
      <c r="C40" s="21">
        <v>6</v>
      </c>
      <c r="D40" s="22">
        <v>0.17899999999999999</v>
      </c>
      <c r="E40" s="22">
        <v>0.18099999999999999</v>
      </c>
      <c r="F40" s="22">
        <v>0.183</v>
      </c>
      <c r="G40" s="22">
        <v>0.186</v>
      </c>
      <c r="H40" s="22">
        <v>0.188</v>
      </c>
      <c r="I40" s="22">
        <v>0.19</v>
      </c>
      <c r="J40" s="22">
        <v>0.192</v>
      </c>
      <c r="K40" s="22">
        <v>0.19400000000000001</v>
      </c>
      <c r="L40" s="22">
        <v>0.19600000000000001</v>
      </c>
      <c r="M40" s="22">
        <v>0.19800000000000001</v>
      </c>
      <c r="N40" s="22">
        <v>0.20100000000000001</v>
      </c>
      <c r="O40" s="22">
        <v>0.20300000000000001</v>
      </c>
    </row>
    <row r="41" spans="2:15">
      <c r="B41" s="206"/>
      <c r="C41" s="21">
        <v>7</v>
      </c>
      <c r="D41" s="22">
        <v>0.20499999999999999</v>
      </c>
      <c r="E41" s="22">
        <v>0.20699999999999999</v>
      </c>
      <c r="F41" s="22">
        <v>0.20899999999999999</v>
      </c>
      <c r="G41" s="22">
        <v>0.21099999999999999</v>
      </c>
      <c r="H41" s="22">
        <v>0.21299999999999999</v>
      </c>
      <c r="I41" s="22">
        <v>0.215</v>
      </c>
      <c r="J41" s="22">
        <v>0.217</v>
      </c>
      <c r="K41" s="22">
        <v>0.219</v>
      </c>
      <c r="L41" s="22">
        <v>0.221</v>
      </c>
      <c r="M41" s="22">
        <v>0.224</v>
      </c>
      <c r="N41" s="22">
        <v>0.22600000000000001</v>
      </c>
      <c r="O41" s="22">
        <v>0.22800000000000001</v>
      </c>
    </row>
    <row r="42" spans="2:15">
      <c r="B42" s="206"/>
      <c r="C42" s="21">
        <v>8</v>
      </c>
      <c r="D42" s="22">
        <v>0.23</v>
      </c>
      <c r="E42" s="22">
        <v>0.23200000000000001</v>
      </c>
      <c r="F42" s="22">
        <v>0.23400000000000001</v>
      </c>
      <c r="G42" s="22">
        <v>0.23599999999999999</v>
      </c>
      <c r="H42" s="22">
        <v>0.23799999999999999</v>
      </c>
      <c r="I42" s="22">
        <v>0.24</v>
      </c>
      <c r="J42" s="22">
        <v>0.24199999999999999</v>
      </c>
      <c r="K42" s="22">
        <v>0.24399999999999999</v>
      </c>
      <c r="L42" s="22">
        <v>0.246</v>
      </c>
      <c r="M42" s="22">
        <v>0.248</v>
      </c>
      <c r="N42" s="22">
        <v>0.25</v>
      </c>
      <c r="O42" s="22">
        <v>0.252</v>
      </c>
    </row>
    <row r="43" spans="2:15">
      <c r="B43" s="206"/>
      <c r="C43" s="21">
        <v>9</v>
      </c>
      <c r="D43" s="22">
        <v>0.254</v>
      </c>
      <c r="E43" s="22">
        <v>0.25600000000000001</v>
      </c>
      <c r="F43" s="22">
        <v>0.25800000000000001</v>
      </c>
      <c r="G43" s="22">
        <v>0.26</v>
      </c>
      <c r="H43" s="22">
        <v>0.26100000000000001</v>
      </c>
      <c r="I43" s="22">
        <v>0.26300000000000001</v>
      </c>
      <c r="J43" s="22">
        <v>0.26500000000000001</v>
      </c>
      <c r="K43" s="22">
        <v>0.26700000000000002</v>
      </c>
      <c r="L43" s="22">
        <v>0.26900000000000002</v>
      </c>
      <c r="M43" s="22">
        <v>0.27100000000000002</v>
      </c>
      <c r="N43" s="22">
        <v>0.27300000000000002</v>
      </c>
      <c r="O43" s="22">
        <v>0.27500000000000002</v>
      </c>
    </row>
    <row r="45" spans="2:15">
      <c r="B45" t="s">
        <v>80</v>
      </c>
    </row>
    <row r="46" spans="2:15">
      <c r="B46" t="s">
        <v>81</v>
      </c>
      <c r="C46" t="s">
        <v>82</v>
      </c>
    </row>
    <row r="47" spans="2:15">
      <c r="B47" t="s">
        <v>84</v>
      </c>
      <c r="C47" t="s">
        <v>93</v>
      </c>
    </row>
    <row r="48" spans="2:15" ht="31.5" customHeight="1">
      <c r="B48" s="29" t="s">
        <v>85</v>
      </c>
      <c r="C48" s="210" t="s">
        <v>94</v>
      </c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</row>
  </sheetData>
  <sheetProtection password="CD6C" sheet="1" objects="1" scenarios="1"/>
  <mergeCells count="10">
    <mergeCell ref="B8:B25"/>
    <mergeCell ref="B4:O4"/>
    <mergeCell ref="D5:O5"/>
    <mergeCell ref="D6:O6"/>
    <mergeCell ref="C2:O2"/>
    <mergeCell ref="C48:O48"/>
    <mergeCell ref="D32:O32"/>
    <mergeCell ref="B34:B43"/>
    <mergeCell ref="D31:O31"/>
    <mergeCell ref="B30:O30"/>
  </mergeCells>
  <pageMargins left="0.70866141732283472" right="0.70866141732283472" top="0.74803149606299213" bottom="0.74803149606299213" header="0.31496062992125984" footer="0.31496062992125984"/>
  <pageSetup paperSize="9" scale="64" fitToWidth="2" orientation="landscape" r:id="rId1"/>
  <headerFooter>
    <oddFooter>&amp;L&amp;F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>
    <tabColor theme="2" tint="-0.249977111117893"/>
    <pageSetUpPr fitToPage="1"/>
  </sheetPr>
  <dimension ref="B3:P137"/>
  <sheetViews>
    <sheetView workbookViewId="0">
      <selection activeCell="G23" sqref="G23"/>
    </sheetView>
  </sheetViews>
  <sheetFormatPr defaultRowHeight="15"/>
  <cols>
    <col min="2" max="2" width="6.7109375" customWidth="1"/>
    <col min="3" max="3" width="21" customWidth="1"/>
    <col min="4" max="4" width="10.140625" customWidth="1"/>
    <col min="5" max="5" width="10" customWidth="1"/>
    <col min="8" max="8" width="3.5703125" customWidth="1"/>
    <col min="9" max="9" width="27.140625" customWidth="1"/>
    <col min="10" max="11" width="9.85546875" customWidth="1"/>
    <col min="14" max="14" width="10.7109375" bestFit="1" customWidth="1"/>
  </cols>
  <sheetData>
    <row r="3" spans="2:16" ht="18">
      <c r="B3" s="19" t="s">
        <v>113</v>
      </c>
      <c r="C3" s="9"/>
    </row>
    <row r="4" spans="2:16" ht="18">
      <c r="B4" s="19"/>
      <c r="C4" s="9"/>
    </row>
    <row r="5" spans="2:16">
      <c r="B5" s="37"/>
      <c r="C5" s="37"/>
    </row>
    <row r="6" spans="2:16">
      <c r="B6" s="3" t="s">
        <v>1</v>
      </c>
      <c r="C6" s="3"/>
      <c r="D6" s="170" t="e">
        <f>Input!#REF!</f>
        <v>#REF!</v>
      </c>
      <c r="E6" s="171"/>
      <c r="F6" s="171"/>
      <c r="G6" s="172"/>
      <c r="I6" s="3" t="s">
        <v>2</v>
      </c>
      <c r="J6" s="170">
        <f>Input!D7</f>
        <v>0</v>
      </c>
      <c r="K6" s="171"/>
      <c r="L6" s="172"/>
    </row>
    <row r="7" spans="2:16">
      <c r="B7" s="3"/>
      <c r="C7" s="3"/>
    </row>
    <row r="8" spans="2:16">
      <c r="B8" s="3" t="s">
        <v>69</v>
      </c>
      <c r="C8" s="3"/>
      <c r="D8" s="12">
        <v>2008</v>
      </c>
      <c r="I8" s="3" t="s">
        <v>100</v>
      </c>
      <c r="J8" s="12">
        <v>65</v>
      </c>
    </row>
    <row r="9" spans="2:16">
      <c r="B9" s="3"/>
      <c r="C9" s="3"/>
      <c r="I9" s="3"/>
    </row>
    <row r="10" spans="2:16" hidden="1">
      <c r="B10" s="3" t="s">
        <v>74</v>
      </c>
      <c r="C10" s="3"/>
      <c r="D10" s="173">
        <f>Input!D9</f>
        <v>0</v>
      </c>
      <c r="E10" s="169"/>
      <c r="I10" s="3" t="s">
        <v>75</v>
      </c>
      <c r="J10" s="173">
        <f>DATE(YEAR(D12)+J8,MONTH(D12),DAY(D12))</f>
        <v>23742</v>
      </c>
      <c r="K10" s="185"/>
    </row>
    <row r="11" spans="2:16" hidden="1">
      <c r="B11" s="3"/>
      <c r="C11" s="3"/>
      <c r="I11" s="3"/>
      <c r="N11" s="17"/>
    </row>
    <row r="12" spans="2:16">
      <c r="B12" s="3" t="s">
        <v>5</v>
      </c>
      <c r="C12" s="3"/>
      <c r="D12" s="178">
        <f>Input!D9</f>
        <v>0</v>
      </c>
      <c r="E12" s="179"/>
      <c r="I12" s="3" t="s">
        <v>195</v>
      </c>
      <c r="J12" s="178">
        <f>Input!D10</f>
        <v>0</v>
      </c>
      <c r="K12" s="179"/>
      <c r="P12" s="17"/>
    </row>
    <row r="13" spans="2:16">
      <c r="B13" s="3"/>
      <c r="C13" s="3"/>
      <c r="F13" s="11"/>
      <c r="I13" s="3"/>
      <c r="N13" s="17"/>
    </row>
    <row r="14" spans="2:16">
      <c r="B14" s="3" t="s">
        <v>202</v>
      </c>
      <c r="C14" s="3"/>
      <c r="D14" s="3" t="s">
        <v>8</v>
      </c>
      <c r="E14" s="18">
        <f>DATEDIF(D12,J12,"Y")</f>
        <v>0</v>
      </c>
      <c r="F14" s="3" t="s">
        <v>9</v>
      </c>
      <c r="G14" s="18">
        <f>DATEDIF(D12,J12,"M")-(E14*12)</f>
        <v>0</v>
      </c>
    </row>
    <row r="15" spans="2:16">
      <c r="B15" s="3"/>
      <c r="C15" s="3"/>
      <c r="D15" s="3"/>
      <c r="E15" s="11"/>
      <c r="F15" s="3"/>
      <c r="G15" s="11"/>
    </row>
    <row r="16" spans="2:16">
      <c r="B16" s="3" t="s">
        <v>10</v>
      </c>
      <c r="C16" s="3"/>
      <c r="D16" s="3" t="s">
        <v>11</v>
      </c>
      <c r="E16" s="33">
        <f>INT(((J8*12)-((E14*12)+G14))/12)</f>
        <v>65</v>
      </c>
      <c r="F16" s="3" t="s">
        <v>9</v>
      </c>
      <c r="G16" s="33">
        <f>J8*12-((E14*12)+G14)-(E16*12)</f>
        <v>0</v>
      </c>
      <c r="H16" s="3" t="s">
        <v>13</v>
      </c>
    </row>
    <row r="17" spans="2:12">
      <c r="B17" s="3"/>
      <c r="C17" s="3"/>
    </row>
    <row r="18" spans="2:12">
      <c r="B18" s="3" t="s">
        <v>136</v>
      </c>
      <c r="C18" s="3"/>
      <c r="D18" s="168" t="e">
        <f>INDEX('VER Factors'!D45:O59, MATCH(E14,'VER Factors'!C45:C59,0), MATCH(G14,'VER Factors'!D44:O44,0))</f>
        <v>#N/A</v>
      </c>
      <c r="E18" s="169"/>
      <c r="I18" s="70"/>
      <c r="J18" s="186"/>
      <c r="K18" s="186"/>
    </row>
    <row r="19" spans="2:12">
      <c r="B19" s="3" t="s">
        <v>126</v>
      </c>
      <c r="C19" s="3"/>
      <c r="D19" s="165" t="e">
        <f>IF(E14&gt;=60,1,IF(E14&gt;=61,1,INDEX('VER Factors'!D28:O37,MATCH($E$14,'VER Factors'!C28:C37,0),MATCH($G$14,'VER Factors'!D27:O27,0))))</f>
        <v>#N/A</v>
      </c>
      <c r="E19" s="166"/>
      <c r="I19" s="70"/>
      <c r="J19" s="167"/>
      <c r="K19" s="167"/>
    </row>
    <row r="20" spans="2:12">
      <c r="B20" s="3" t="s">
        <v>141</v>
      </c>
      <c r="C20" s="3"/>
      <c r="D20" s="165" t="e">
        <f>INDEX('VER Factors'!D70:O80, MATCH($E$14,'VER Factors'!C70:C80,0), MATCH($G$14,'VER Factors'!D69:O69,0))</f>
        <v>#N/A</v>
      </c>
      <c r="E20" s="166"/>
      <c r="I20" s="3" t="s">
        <v>163</v>
      </c>
      <c r="J20" s="168" t="e">
        <f>INDEX('VER Factors'!$D$156:$O$200, MATCH((E14),'VER Factors'!C156:C200,0), MATCH(($G$14),'VER Factors'!D155:O155,0))</f>
        <v>#N/A</v>
      </c>
      <c r="K20" s="169"/>
    </row>
    <row r="21" spans="2:12" s="54" customFormat="1">
      <c r="B21" s="3"/>
      <c r="C21" s="3"/>
      <c r="D21" s="94"/>
      <c r="E21" s="94"/>
      <c r="I21" s="3" t="s">
        <v>164</v>
      </c>
      <c r="J21" s="168" t="e">
        <f>INDEX('VER Factors'!$D$215:$O$263, MATCH((E14),'VER Factors'!C215:C263,0), MATCH(($G$14),'VER Factors'!D214:O214,0))</f>
        <v>#N/A</v>
      </c>
      <c r="K21" s="169"/>
    </row>
    <row r="22" spans="2:12" s="54" customFormat="1">
      <c r="B22" s="3"/>
      <c r="C22" s="3"/>
      <c r="D22" s="131"/>
      <c r="E22" s="131"/>
      <c r="I22" s="3"/>
      <c r="J22" s="122"/>
      <c r="K22" s="122"/>
    </row>
    <row r="23" spans="2:12" s="54" customFormat="1">
      <c r="B23" s="3" t="s">
        <v>185</v>
      </c>
      <c r="C23" s="3"/>
      <c r="D23" s="3"/>
      <c r="E23" s="3"/>
      <c r="F23" s="12">
        <f>IF(Input!D7="Yes",DATEDIF(J23,J12,"d"),0)-1</f>
        <v>-1</v>
      </c>
      <c r="G23" s="54" t="s">
        <v>154</v>
      </c>
      <c r="I23" s="54" t="s">
        <v>186</v>
      </c>
      <c r="J23" s="150">
        <f>Input!D11</f>
        <v>0</v>
      </c>
      <c r="K23" s="151"/>
    </row>
    <row r="24" spans="2:12" s="54" customFormat="1">
      <c r="B24" s="3" t="s">
        <v>190</v>
      </c>
      <c r="C24" s="3"/>
      <c r="D24" s="3"/>
      <c r="E24" s="3"/>
      <c r="F24" s="12" t="e">
        <f>ROUNDUP(Input!F12/Input!F14*F23,0)</f>
        <v>#DIV/0!</v>
      </c>
      <c r="G24" s="54" t="s">
        <v>154</v>
      </c>
      <c r="J24" s="102"/>
      <c r="K24" s="103"/>
    </row>
    <row r="25" spans="2:12" s="54" customFormat="1">
      <c r="B25" s="3"/>
      <c r="C25" s="3"/>
      <c r="D25" s="3"/>
      <c r="E25" s="3"/>
      <c r="J25" s="102"/>
      <c r="K25" s="103"/>
    </row>
    <row r="26" spans="2:12" s="54" customFormat="1">
      <c r="B26" s="3" t="s">
        <v>187</v>
      </c>
      <c r="C26" s="3"/>
      <c r="D26" s="3"/>
      <c r="E26" s="3"/>
      <c r="F26" s="149" t="e">
        <f>ROUND(IF(F23&lt;&gt;F24,F24,F23)*Input!D16/21900,2)</f>
        <v>#DIV/0!</v>
      </c>
      <c r="G26" s="149"/>
      <c r="J26" s="4"/>
    </row>
    <row r="27" spans="2:12" s="54" customFormat="1">
      <c r="B27" s="147" t="s">
        <v>189</v>
      </c>
      <c r="C27" s="147"/>
      <c r="D27" s="147"/>
      <c r="E27" s="148"/>
      <c r="F27" s="149" t="e">
        <f>ROUND(F26*0.375,2)</f>
        <v>#DIV/0!</v>
      </c>
      <c r="G27" s="149"/>
      <c r="J27" s="4"/>
    </row>
    <row r="28" spans="2:12">
      <c r="J28" s="4"/>
    </row>
    <row r="29" spans="2:12">
      <c r="B29" s="14" t="s">
        <v>127</v>
      </c>
      <c r="C29" s="13"/>
      <c r="D29" s="153" t="e">
        <f>Input!D17+F26</f>
        <v>#DIV/0!</v>
      </c>
      <c r="E29" s="154"/>
      <c r="F29" s="15" t="s">
        <v>67</v>
      </c>
      <c r="I29" s="14" t="s">
        <v>133</v>
      </c>
      <c r="J29" s="153" t="e">
        <f>ROUND((((D29+(D30/12))*D18)+(J30*D20))-(J30/12),2)</f>
        <v>#DIV/0!</v>
      </c>
      <c r="K29" s="154"/>
      <c r="L29" s="3" t="s">
        <v>22</v>
      </c>
    </row>
    <row r="30" spans="2:12">
      <c r="B30" s="14" t="s">
        <v>142</v>
      </c>
      <c r="C30" s="13"/>
      <c r="D30" s="153">
        <f>Input!D20</f>
        <v>0</v>
      </c>
      <c r="E30" s="154"/>
      <c r="F30" s="15" t="s">
        <v>71</v>
      </c>
      <c r="I30" s="14" t="s">
        <v>142</v>
      </c>
      <c r="J30" s="153" t="e">
        <f>ROUNDDOWN(ROUND((D30*IF(D19=0,1,D19))/12,2),0)*12</f>
        <v>#N/A</v>
      </c>
      <c r="K30" s="154"/>
      <c r="L30" s="3" t="s">
        <v>25</v>
      </c>
    </row>
    <row r="31" spans="2:12">
      <c r="B31" s="14" t="s">
        <v>137</v>
      </c>
      <c r="C31" s="13"/>
      <c r="D31" s="153" t="e">
        <f>12*ROUNDDOWN((ROUND((D29*(30/7))-(D30*(9/14)),2))/12,0)</f>
        <v>#DIV/0!</v>
      </c>
      <c r="E31" s="154"/>
      <c r="F31" s="15"/>
      <c r="I31" s="14" t="s">
        <v>140</v>
      </c>
      <c r="J31" s="153" t="e">
        <f>12*ROUNDDOWN((ROUND((J29*(30/7))-(J30*(9/14)),2))/12,0)</f>
        <v>#DIV/0!</v>
      </c>
      <c r="K31" s="154"/>
      <c r="L31" s="3"/>
    </row>
    <row r="32" spans="2:12">
      <c r="B32" s="14" t="s">
        <v>130</v>
      </c>
      <c r="C32" s="13"/>
      <c r="D32" s="153" t="e">
        <f>D30+D31</f>
        <v>#DIV/0!</v>
      </c>
      <c r="E32" s="154"/>
      <c r="F32" s="15"/>
      <c r="I32" s="14" t="s">
        <v>130</v>
      </c>
      <c r="J32" s="153" t="e">
        <f>J30+J31</f>
        <v>#N/A</v>
      </c>
      <c r="K32" s="154"/>
      <c r="L32" s="3"/>
    </row>
    <row r="33" spans="2:13">
      <c r="B33" s="14" t="s">
        <v>138</v>
      </c>
      <c r="C33" s="13"/>
      <c r="D33" s="153" t="e">
        <f>D29-(D31/12)</f>
        <v>#DIV/0!</v>
      </c>
      <c r="E33" s="154"/>
      <c r="F33" s="15"/>
      <c r="I33" s="14" t="s">
        <v>138</v>
      </c>
      <c r="J33" s="153" t="e">
        <f>J29-(J31/12)</f>
        <v>#DIV/0!</v>
      </c>
      <c r="K33" s="154"/>
      <c r="L33" s="3"/>
    </row>
    <row r="34" spans="2:13">
      <c r="B34" s="14" t="s">
        <v>139</v>
      </c>
      <c r="D34" s="153" t="e">
        <f>Input!D19+F27</f>
        <v>#DIV/0!</v>
      </c>
      <c r="E34" s="154"/>
      <c r="I34" s="14" t="s">
        <v>139</v>
      </c>
      <c r="J34" s="153" t="e">
        <f>D34</f>
        <v>#DIV/0!</v>
      </c>
      <c r="K34" s="154"/>
    </row>
    <row r="35" spans="2:13">
      <c r="B35" s="14"/>
      <c r="C35" s="13"/>
      <c r="D35" s="35"/>
      <c r="E35" s="35"/>
      <c r="F35" s="3"/>
      <c r="I35" s="14"/>
      <c r="J35" s="35"/>
      <c r="K35" s="35"/>
    </row>
    <row r="36" spans="2:13">
      <c r="B36" s="126"/>
      <c r="C36" s="130"/>
      <c r="D36" s="181"/>
      <c r="E36" s="181"/>
      <c r="F36" s="70"/>
      <c r="I36" s="14" t="s">
        <v>165</v>
      </c>
      <c r="J36" s="153" t="e">
        <f>D29-(ROUND(D29*J20,2)-ROUND(D30*J21,2))</f>
        <v>#DIV/0!</v>
      </c>
      <c r="K36" s="154"/>
    </row>
    <row r="37" spans="2:13">
      <c r="B37" s="3"/>
      <c r="C37" s="3"/>
    </row>
    <row r="38" spans="2:13" s="121" customFormat="1">
      <c r="B38" s="108"/>
      <c r="C38" s="108"/>
    </row>
    <row r="39" spans="2:13" s="121" customFormat="1">
      <c r="B39" s="36"/>
      <c r="C39" s="36"/>
    </row>
    <row r="40" spans="2:13" s="121" customFormat="1">
      <c r="B40" s="36"/>
      <c r="C40" s="36"/>
    </row>
    <row r="41" spans="2:13" s="121" customFormat="1">
      <c r="B41" s="70"/>
      <c r="C41" s="70"/>
      <c r="D41" s="109"/>
      <c r="E41" s="157"/>
      <c r="F41" s="167"/>
      <c r="G41" s="160"/>
      <c r="H41" s="160"/>
      <c r="I41" s="39"/>
      <c r="J41" s="160"/>
      <c r="K41" s="160"/>
      <c r="L41" s="157"/>
      <c r="M41" s="167"/>
    </row>
    <row r="42" spans="2:13" s="121" customFormat="1">
      <c r="B42" s="70"/>
      <c r="C42" s="70"/>
      <c r="D42" s="70"/>
      <c r="E42" s="120"/>
      <c r="F42" s="122"/>
      <c r="G42" s="70"/>
      <c r="I42" s="70"/>
    </row>
    <row r="43" spans="2:13" s="121" customFormat="1">
      <c r="B43" s="70"/>
      <c r="C43" s="70"/>
      <c r="D43" s="109"/>
      <c r="E43" s="157"/>
      <c r="F43" s="167"/>
      <c r="G43" s="215"/>
      <c r="H43" s="215"/>
      <c r="I43" s="120"/>
      <c r="J43" s="213"/>
      <c r="K43" s="213"/>
      <c r="L43" s="184"/>
      <c r="M43" s="214"/>
    </row>
    <row r="44" spans="2:13" s="121" customFormat="1"/>
    <row r="45" spans="2:13" s="121" customFormat="1"/>
    <row r="46" spans="2:13" s="121" customFormat="1">
      <c r="B46" s="36"/>
      <c r="C46" s="36"/>
    </row>
    <row r="47" spans="2:13" s="121" customFormat="1">
      <c r="B47" s="36"/>
      <c r="C47" s="36"/>
    </row>
    <row r="48" spans="2:13" s="121" customFormat="1">
      <c r="B48" s="70"/>
      <c r="C48" s="36"/>
      <c r="G48" s="36"/>
      <c r="I48" s="112"/>
      <c r="J48" s="113"/>
    </row>
    <row r="49" spans="2:13" s="121" customFormat="1">
      <c r="B49" s="70"/>
      <c r="C49" s="36"/>
      <c r="G49" s="113"/>
      <c r="H49" s="113"/>
      <c r="I49" s="113"/>
      <c r="J49" s="113"/>
    </row>
    <row r="50" spans="2:13" s="121" customFormat="1">
      <c r="B50" s="108"/>
      <c r="C50" s="108"/>
    </row>
    <row r="51" spans="2:13" s="121" customFormat="1">
      <c r="B51" s="108"/>
      <c r="C51" s="114"/>
    </row>
    <row r="52" spans="2:13" s="121" customFormat="1">
      <c r="B52" s="70"/>
      <c r="C52" s="70"/>
    </row>
    <row r="53" spans="2:13" s="121" customFormat="1">
      <c r="B53" s="70"/>
      <c r="C53" s="70"/>
      <c r="D53" s="109"/>
      <c r="E53" s="157"/>
      <c r="F53" s="167"/>
      <c r="G53" s="158"/>
      <c r="H53" s="160"/>
      <c r="I53" s="39"/>
      <c r="J53" s="160"/>
      <c r="K53" s="160"/>
      <c r="L53" s="157"/>
      <c r="M53" s="167"/>
    </row>
    <row r="54" spans="2:13" s="121" customFormat="1">
      <c r="B54" s="70"/>
      <c r="C54" s="70"/>
    </row>
    <row r="55" spans="2:13" s="121" customFormat="1">
      <c r="B55" s="70"/>
      <c r="C55" s="38"/>
      <c r="D55" s="115"/>
      <c r="E55" s="157"/>
      <c r="F55" s="167"/>
      <c r="G55" s="160"/>
      <c r="H55" s="160"/>
      <c r="I55" s="39"/>
      <c r="J55" s="160"/>
      <c r="K55" s="160"/>
      <c r="L55" s="162"/>
      <c r="M55" s="162"/>
    </row>
    <row r="56" spans="2:13" s="121" customFormat="1">
      <c r="B56" s="70"/>
      <c r="C56" s="70"/>
    </row>
    <row r="57" spans="2:13" s="121" customFormat="1">
      <c r="B57" s="108"/>
      <c r="C57" s="114"/>
    </row>
    <row r="58" spans="2:13" s="121" customFormat="1">
      <c r="B58" s="70"/>
      <c r="C58" s="70"/>
    </row>
    <row r="59" spans="2:13" s="121" customFormat="1">
      <c r="B59" s="70"/>
      <c r="C59" s="70"/>
      <c r="D59" s="109"/>
      <c r="E59" s="157"/>
      <c r="F59" s="167"/>
      <c r="G59" s="158"/>
      <c r="H59" s="160"/>
      <c r="I59" s="39"/>
      <c r="J59" s="160"/>
      <c r="K59" s="160"/>
      <c r="L59" s="157"/>
      <c r="M59" s="167"/>
    </row>
    <row r="60" spans="2:13" s="121" customFormat="1">
      <c r="B60" s="70"/>
      <c r="C60" s="70"/>
    </row>
    <row r="61" spans="2:13" s="121" customFormat="1">
      <c r="B61" s="70"/>
      <c r="C61" s="38"/>
      <c r="D61" s="115"/>
      <c r="E61" s="157"/>
      <c r="F61" s="167"/>
      <c r="G61" s="160"/>
      <c r="H61" s="160"/>
      <c r="I61" s="39"/>
      <c r="J61" s="160"/>
      <c r="K61" s="160"/>
      <c r="L61" s="162"/>
      <c r="M61" s="162"/>
    </row>
    <row r="62" spans="2:13" s="121" customFormat="1">
      <c r="B62" s="70"/>
      <c r="C62" s="38"/>
      <c r="D62" s="115"/>
      <c r="E62" s="120"/>
      <c r="F62" s="122"/>
      <c r="G62" s="119"/>
      <c r="H62" s="119"/>
      <c r="I62" s="39"/>
      <c r="J62" s="119"/>
      <c r="K62" s="119"/>
      <c r="L62" s="118"/>
      <c r="M62" s="118"/>
    </row>
    <row r="63" spans="2:13" s="121" customFormat="1">
      <c r="B63" s="36"/>
      <c r="C63" s="36"/>
    </row>
    <row r="64" spans="2:13" s="121" customFormat="1">
      <c r="B64" s="36"/>
      <c r="C64" s="36"/>
    </row>
    <row r="65" spans="2:11" s="121" customFormat="1">
      <c r="B65" s="70"/>
      <c r="C65" s="38"/>
      <c r="D65" s="20"/>
      <c r="E65" s="161"/>
      <c r="F65" s="161"/>
      <c r="G65" s="160"/>
      <c r="H65" s="160"/>
      <c r="I65" s="156"/>
      <c r="J65" s="212"/>
      <c r="K65" s="70"/>
    </row>
    <row r="66" spans="2:11" s="121" customFormat="1">
      <c r="B66" s="70"/>
      <c r="C66" s="38"/>
      <c r="D66" s="20"/>
      <c r="E66" s="125"/>
      <c r="F66" s="125"/>
      <c r="G66" s="119"/>
      <c r="H66" s="119"/>
      <c r="I66" s="124"/>
      <c r="J66" s="42"/>
      <c r="K66" s="70"/>
    </row>
    <row r="67" spans="2:11" s="121" customFormat="1">
      <c r="B67" s="70"/>
      <c r="C67" s="38"/>
      <c r="D67" s="20"/>
      <c r="E67" s="161"/>
      <c r="F67" s="161"/>
      <c r="G67" s="119"/>
      <c r="H67" s="119"/>
      <c r="I67" s="156"/>
      <c r="J67" s="212"/>
      <c r="K67" s="70"/>
    </row>
    <row r="68" spans="2:11" s="121" customFormat="1">
      <c r="B68" s="70"/>
      <c r="C68" s="70"/>
    </row>
    <row r="69" spans="2:11" s="121" customFormat="1">
      <c r="B69" s="36"/>
      <c r="C69" s="36"/>
    </row>
    <row r="70" spans="2:11" s="121" customFormat="1">
      <c r="B70" s="70"/>
      <c r="C70" s="70"/>
      <c r="F70" s="70"/>
      <c r="G70" s="70"/>
      <c r="J70" s="70"/>
    </row>
    <row r="71" spans="2:11" s="121" customFormat="1">
      <c r="B71" s="70"/>
      <c r="C71" s="38"/>
      <c r="D71" s="20"/>
      <c r="E71" s="161"/>
      <c r="F71" s="161"/>
      <c r="G71" s="160"/>
      <c r="H71" s="160"/>
      <c r="I71" s="156"/>
      <c r="J71" s="212"/>
    </row>
    <row r="72" spans="2:11" s="121" customFormat="1"/>
    <row r="73" spans="2:11" s="121" customFormat="1">
      <c r="B73" s="36"/>
    </row>
    <row r="74" spans="2:11" s="121" customFormat="1"/>
    <row r="75" spans="2:11" s="121" customFormat="1">
      <c r="C75" s="40"/>
      <c r="E75" s="155"/>
      <c r="F75" s="216"/>
      <c r="I75" s="156"/>
      <c r="J75" s="212"/>
    </row>
    <row r="76" spans="2:11" s="121" customFormat="1">
      <c r="C76" s="40"/>
      <c r="E76" s="123"/>
      <c r="F76" s="41"/>
      <c r="I76" s="124"/>
      <c r="J76" s="42"/>
    </row>
    <row r="77" spans="2:11" s="121" customFormat="1">
      <c r="C77" s="40"/>
      <c r="D77" s="122"/>
      <c r="E77" s="155"/>
      <c r="F77" s="155"/>
      <c r="G77" s="122"/>
      <c r="I77" s="156"/>
      <c r="J77" s="156"/>
    </row>
    <row r="78" spans="2:11" s="121" customFormat="1"/>
    <row r="79" spans="2:11" s="121" customFormat="1">
      <c r="B79" s="36"/>
    </row>
    <row r="80" spans="2:11" s="121" customFormat="1"/>
    <row r="81" spans="2:10" s="121" customFormat="1">
      <c r="C81" s="40"/>
      <c r="E81" s="157"/>
      <c r="F81" s="167"/>
      <c r="I81" s="156"/>
      <c r="J81" s="212"/>
    </row>
    <row r="82" spans="2:10" s="121" customFormat="1"/>
    <row r="83" spans="2:10" s="121" customFormat="1">
      <c r="B83" s="36"/>
    </row>
    <row r="84" spans="2:10" s="121" customFormat="1"/>
    <row r="85" spans="2:10" s="121" customFormat="1">
      <c r="C85" s="40"/>
      <c r="E85" s="157"/>
      <c r="F85" s="167"/>
    </row>
    <row r="86" spans="2:10" s="121" customFormat="1"/>
    <row r="87" spans="2:10" s="121" customFormat="1"/>
    <row r="88" spans="2:10" s="121" customFormat="1"/>
    <row r="89" spans="2:10" s="121" customFormat="1"/>
    <row r="90" spans="2:10" s="121" customFormat="1"/>
    <row r="91" spans="2:10" s="121" customFormat="1"/>
    <row r="92" spans="2:10" s="121" customFormat="1"/>
    <row r="93" spans="2:10" s="121" customFormat="1"/>
    <row r="94" spans="2:10" s="121" customFormat="1"/>
    <row r="95" spans="2:10" s="121" customFormat="1"/>
    <row r="96" spans="2:10" s="121" customFormat="1"/>
    <row r="97" s="121" customFormat="1"/>
    <row r="98" s="121" customFormat="1"/>
    <row r="99" s="121" customFormat="1"/>
    <row r="100" s="121" customFormat="1"/>
    <row r="101" s="121" customFormat="1"/>
    <row r="102" s="121" customFormat="1"/>
    <row r="103" s="121" customFormat="1"/>
    <row r="104" s="121" customFormat="1"/>
    <row r="105" s="121" customFormat="1"/>
    <row r="106" s="121" customFormat="1"/>
    <row r="107" s="121" customFormat="1"/>
    <row r="108" s="121" customFormat="1"/>
    <row r="109" s="121" customFormat="1"/>
    <row r="110" s="121" customFormat="1"/>
    <row r="111" s="121" customFormat="1"/>
    <row r="112" s="121" customFormat="1"/>
    <row r="113" s="121" customFormat="1"/>
    <row r="114" s="121" customFormat="1"/>
    <row r="115" s="121" customFormat="1"/>
    <row r="116" s="121" customFormat="1"/>
    <row r="117" s="121" customFormat="1"/>
    <row r="118" s="121" customFormat="1"/>
    <row r="119" s="121" customFormat="1"/>
    <row r="120" s="121" customFormat="1"/>
    <row r="121" s="121" customFormat="1"/>
    <row r="122" s="121" customFormat="1"/>
    <row r="123" s="121" customFormat="1"/>
    <row r="124" s="121" customFormat="1"/>
    <row r="125" s="121" customFormat="1"/>
    <row r="126" s="121" customFormat="1"/>
    <row r="127" s="121" customFormat="1"/>
    <row r="128" s="121" customFormat="1"/>
    <row r="129" s="121" customFormat="1"/>
    <row r="130" s="121" customFormat="1"/>
    <row r="131" s="121" customFormat="1"/>
    <row r="132" s="121" customFormat="1"/>
    <row r="133" s="121" customFormat="1"/>
    <row r="134" s="121" customFormat="1"/>
    <row r="135" s="121" customFormat="1"/>
    <row r="136" s="121" customFormat="1"/>
    <row r="137" s="121" customFormat="1"/>
  </sheetData>
  <sheetProtection password="CD6C" sheet="1" objects="1" scenarios="1"/>
  <mergeCells count="70">
    <mergeCell ref="F27:G27"/>
    <mergeCell ref="D6:G6"/>
    <mergeCell ref="J6:L6"/>
    <mergeCell ref="D10:E10"/>
    <mergeCell ref="J10:K10"/>
    <mergeCell ref="D12:E12"/>
    <mergeCell ref="J12:K12"/>
    <mergeCell ref="D18:E18"/>
    <mergeCell ref="J18:K18"/>
    <mergeCell ref="D19:E19"/>
    <mergeCell ref="J19:K19"/>
    <mergeCell ref="D20:E20"/>
    <mergeCell ref="J20:K20"/>
    <mergeCell ref="J21:K21"/>
    <mergeCell ref="J23:K23"/>
    <mergeCell ref="D34:E34"/>
    <mergeCell ref="J36:K36"/>
    <mergeCell ref="F26:G26"/>
    <mergeCell ref="D33:E33"/>
    <mergeCell ref="J33:K33"/>
    <mergeCell ref="D36:E36"/>
    <mergeCell ref="J34:K34"/>
    <mergeCell ref="D32:E32"/>
    <mergeCell ref="J32:K32"/>
    <mergeCell ref="D29:E29"/>
    <mergeCell ref="J29:K29"/>
    <mergeCell ref="D31:E31"/>
    <mergeCell ref="J31:K31"/>
    <mergeCell ref="D30:E30"/>
    <mergeCell ref="J30:K30"/>
    <mergeCell ref="B27:E27"/>
    <mergeCell ref="J55:K55"/>
    <mergeCell ref="L55:M55"/>
    <mergeCell ref="E43:F43"/>
    <mergeCell ref="E77:F77"/>
    <mergeCell ref="I77:J77"/>
    <mergeCell ref="I71:J71"/>
    <mergeCell ref="E75:F75"/>
    <mergeCell ref="I75:J75"/>
    <mergeCell ref="E55:F55"/>
    <mergeCell ref="G55:H55"/>
    <mergeCell ref="L59:M59"/>
    <mergeCell ref="L61:M61"/>
    <mergeCell ref="L41:M41"/>
    <mergeCell ref="E53:F53"/>
    <mergeCell ref="G53:H53"/>
    <mergeCell ref="J53:K53"/>
    <mergeCell ref="L53:M53"/>
    <mergeCell ref="E41:F41"/>
    <mergeCell ref="G41:H41"/>
    <mergeCell ref="J41:K41"/>
    <mergeCell ref="J43:K43"/>
    <mergeCell ref="L43:M43"/>
    <mergeCell ref="G43:H43"/>
    <mergeCell ref="I81:J81"/>
    <mergeCell ref="E85:F85"/>
    <mergeCell ref="E59:F59"/>
    <mergeCell ref="G59:H59"/>
    <mergeCell ref="J59:K59"/>
    <mergeCell ref="E61:F61"/>
    <mergeCell ref="G61:H61"/>
    <mergeCell ref="J61:K61"/>
    <mergeCell ref="I65:J65"/>
    <mergeCell ref="E71:F71"/>
    <mergeCell ref="G71:H71"/>
    <mergeCell ref="E67:F67"/>
    <mergeCell ref="I67:J67"/>
    <mergeCell ref="E65:F65"/>
    <mergeCell ref="G65:H65"/>
    <mergeCell ref="E81:F81"/>
  </mergeCells>
  <pageMargins left="0.32" right="0.38" top="0.55000000000000004" bottom="0.45" header="0.31496062992125984" footer="0.31496062992125984"/>
  <pageSetup paperSize="9" scale="6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theme="8"/>
    <pageSetUpPr fitToPage="1"/>
  </sheetPr>
  <dimension ref="A3:P76"/>
  <sheetViews>
    <sheetView topLeftCell="A4" zoomScaleNormal="100" workbookViewId="0">
      <selection activeCell="D18" sqref="D18:E18"/>
    </sheetView>
  </sheetViews>
  <sheetFormatPr defaultRowHeight="15"/>
  <cols>
    <col min="2" max="2" width="6.7109375" customWidth="1"/>
    <col min="3" max="3" width="22.28515625" customWidth="1"/>
    <col min="4" max="4" width="9.28515625" customWidth="1"/>
    <col min="5" max="5" width="10" customWidth="1"/>
    <col min="8" max="8" width="3.5703125" customWidth="1"/>
    <col min="9" max="9" width="28.28515625" customWidth="1"/>
    <col min="10" max="11" width="9.85546875" customWidth="1"/>
    <col min="14" max="14" width="10.7109375" bestFit="1" customWidth="1"/>
  </cols>
  <sheetData>
    <row r="3" spans="2:16" ht="18">
      <c r="B3" s="19" t="s">
        <v>108</v>
      </c>
      <c r="C3" s="9"/>
    </row>
    <row r="4" spans="2:16" ht="18">
      <c r="B4" s="19"/>
      <c r="C4" s="9"/>
    </row>
    <row r="5" spans="2:16">
      <c r="B5" s="31"/>
      <c r="C5" s="31"/>
    </row>
    <row r="6" spans="2:16">
      <c r="B6" s="3" t="s">
        <v>1</v>
      </c>
      <c r="C6" s="3"/>
      <c r="D6" s="170" t="e">
        <f>Input!#REF!</f>
        <v>#REF!</v>
      </c>
      <c r="E6" s="171"/>
      <c r="F6" s="171"/>
      <c r="G6" s="172"/>
      <c r="I6" s="3" t="s">
        <v>2</v>
      </c>
      <c r="J6" s="170">
        <f>Input!D7</f>
        <v>0</v>
      </c>
      <c r="K6" s="171"/>
      <c r="L6" s="172"/>
    </row>
    <row r="7" spans="2:16">
      <c r="B7" s="3"/>
      <c r="C7" s="3"/>
    </row>
    <row r="8" spans="2:16">
      <c r="B8" s="3" t="s">
        <v>69</v>
      </c>
      <c r="C8" s="3"/>
      <c r="D8" s="12">
        <v>2015</v>
      </c>
      <c r="I8" s="3" t="s">
        <v>100</v>
      </c>
      <c r="J8" s="12">
        <f>Input!D21</f>
        <v>0</v>
      </c>
      <c r="K8" s="54" t="s">
        <v>73</v>
      </c>
      <c r="L8" s="12">
        <f>Input!D22</f>
        <v>0</v>
      </c>
      <c r="M8" s="54" t="s">
        <v>9</v>
      </c>
    </row>
    <row r="9" spans="2:16">
      <c r="B9" s="3"/>
      <c r="C9" s="3"/>
      <c r="I9" s="3"/>
    </row>
    <row r="10" spans="2:16" hidden="1">
      <c r="B10" s="3" t="s">
        <v>74</v>
      </c>
      <c r="C10" s="3"/>
      <c r="D10" s="173">
        <f>Input!D9</f>
        <v>0</v>
      </c>
      <c r="E10" s="169"/>
      <c r="I10" s="3" t="s">
        <v>75</v>
      </c>
      <c r="J10" s="173">
        <f>DATE(YEAR(D12)+J8,MONTH(D12),DAY(D12))</f>
        <v>0</v>
      </c>
      <c r="K10" s="185"/>
    </row>
    <row r="11" spans="2:16" hidden="1">
      <c r="B11" s="3"/>
      <c r="C11" s="3"/>
      <c r="I11" s="3"/>
      <c r="N11" s="17"/>
    </row>
    <row r="12" spans="2:16">
      <c r="B12" s="3" t="s">
        <v>5</v>
      </c>
      <c r="C12" s="3"/>
      <c r="D12" s="178">
        <f>Input!D9</f>
        <v>0</v>
      </c>
      <c r="E12" s="179"/>
      <c r="I12" s="3" t="s">
        <v>193</v>
      </c>
      <c r="J12" s="178">
        <f>Input!D10</f>
        <v>0</v>
      </c>
      <c r="K12" s="179"/>
      <c r="P12" s="17"/>
    </row>
    <row r="13" spans="2:16">
      <c r="B13" s="3"/>
      <c r="C13" s="3"/>
      <c r="F13" s="11"/>
      <c r="I13" s="3"/>
      <c r="J13" s="54"/>
      <c r="N13" s="17"/>
    </row>
    <row r="14" spans="2:16">
      <c r="B14" s="3" t="s">
        <v>202</v>
      </c>
      <c r="C14" s="3"/>
      <c r="D14" s="3" t="s">
        <v>8</v>
      </c>
      <c r="E14" s="68">
        <f>DATEDIF(D12,J12,"Y")</f>
        <v>0</v>
      </c>
      <c r="F14" s="3" t="s">
        <v>9</v>
      </c>
      <c r="G14" s="68">
        <f>DATEDIF(D12,J12,"M")-(E14*12)</f>
        <v>0</v>
      </c>
      <c r="J14" s="54"/>
      <c r="K14" s="54"/>
    </row>
    <row r="15" spans="2:16">
      <c r="B15" s="3"/>
      <c r="C15" s="3"/>
      <c r="D15" s="3"/>
      <c r="E15" s="43"/>
      <c r="F15" s="3"/>
      <c r="G15" s="43"/>
    </row>
    <row r="16" spans="2:16">
      <c r="B16" s="3" t="s">
        <v>10</v>
      </c>
      <c r="C16" s="3"/>
      <c r="D16" s="3" t="s">
        <v>11</v>
      </c>
      <c r="E16" s="69">
        <f>INT((((J8*12)+L8)-((E14*12)+G14))/12)</f>
        <v>0</v>
      </c>
      <c r="F16" s="3" t="s">
        <v>9</v>
      </c>
      <c r="G16" s="69">
        <f>((((J8*12)+L8)-((E14*12)+G14))/12-INT((((J8*12)+L8)-((E14*12)+G14))/12))*12</f>
        <v>0</v>
      </c>
      <c r="H16" s="3" t="s">
        <v>13</v>
      </c>
    </row>
    <row r="17" spans="1:12">
      <c r="B17" s="3"/>
      <c r="C17" s="3"/>
    </row>
    <row r="18" spans="1:12">
      <c r="B18" s="3" t="s">
        <v>125</v>
      </c>
      <c r="C18" s="3"/>
      <c r="D18" s="168">
        <f>ROUND(INDEX('VER Factors'!D97:O109,E16+1,G16+1,1),3)</f>
        <v>1</v>
      </c>
      <c r="E18" s="169"/>
      <c r="I18" s="70"/>
      <c r="J18" s="186"/>
      <c r="K18" s="186"/>
    </row>
    <row r="19" spans="1:12">
      <c r="B19" s="3"/>
      <c r="C19" s="3"/>
      <c r="I19" s="3"/>
    </row>
    <row r="20" spans="1:12" s="54" customFormat="1">
      <c r="A20" s="121"/>
      <c r="B20" s="70"/>
      <c r="C20" s="70"/>
      <c r="D20" s="70"/>
      <c r="E20" s="70"/>
      <c r="F20" s="122"/>
      <c r="G20" s="121"/>
      <c r="H20" s="121"/>
      <c r="I20" s="121"/>
      <c r="J20" s="218"/>
      <c r="K20" s="219"/>
    </row>
    <row r="21" spans="1:12" s="54" customFormat="1">
      <c r="A21" s="121"/>
      <c r="B21" s="70"/>
      <c r="C21" s="70"/>
      <c r="D21" s="70"/>
      <c r="E21" s="70"/>
      <c r="F21" s="122"/>
      <c r="G21" s="121"/>
      <c r="H21" s="121"/>
      <c r="I21" s="121"/>
      <c r="J21" s="102"/>
      <c r="K21" s="103"/>
    </row>
    <row r="22" spans="1:12" s="54" customFormat="1">
      <c r="A22" s="121"/>
      <c r="B22" s="70"/>
      <c r="C22" s="70"/>
      <c r="D22" s="70"/>
      <c r="E22" s="70"/>
      <c r="F22" s="121"/>
      <c r="G22" s="121"/>
      <c r="H22" s="121"/>
      <c r="I22" s="121"/>
      <c r="J22" s="102"/>
      <c r="K22" s="103"/>
    </row>
    <row r="23" spans="1:12" s="54" customFormat="1">
      <c r="A23" s="121"/>
      <c r="B23" s="70"/>
      <c r="C23" s="70"/>
      <c r="D23" s="70"/>
      <c r="E23" s="70"/>
      <c r="F23" s="220"/>
      <c r="G23" s="220"/>
      <c r="H23" s="121"/>
      <c r="I23" s="121"/>
      <c r="J23" s="132"/>
      <c r="K23" s="121"/>
    </row>
    <row r="24" spans="1:12" s="54" customFormat="1">
      <c r="A24" s="121"/>
      <c r="B24" s="215"/>
      <c r="C24" s="215"/>
      <c r="D24" s="215"/>
      <c r="E24" s="215"/>
      <c r="F24" s="220"/>
      <c r="G24" s="220"/>
      <c r="H24" s="121"/>
      <c r="I24" s="121"/>
      <c r="J24" s="132"/>
      <c r="K24" s="121"/>
    </row>
    <row r="25" spans="1:12" s="54" customFormat="1">
      <c r="B25" s="3"/>
      <c r="C25" s="3"/>
      <c r="I25" s="3"/>
    </row>
    <row r="26" spans="1:12" s="54" customFormat="1">
      <c r="B26" s="3"/>
      <c r="C26" s="3"/>
      <c r="I26" s="3"/>
    </row>
    <row r="27" spans="1:12" s="54" customFormat="1">
      <c r="B27" s="3"/>
      <c r="C27" s="3"/>
      <c r="I27" s="3"/>
    </row>
    <row r="28" spans="1:12">
      <c r="J28" s="4"/>
    </row>
    <row r="29" spans="1:12">
      <c r="B29" s="14" t="s">
        <v>127</v>
      </c>
      <c r="C29" s="13"/>
      <c r="D29" s="153">
        <f>Input!D17</f>
        <v>0</v>
      </c>
      <c r="E29" s="154"/>
      <c r="F29" s="15" t="s">
        <v>67</v>
      </c>
      <c r="I29" s="14" t="s">
        <v>133</v>
      </c>
      <c r="J29" s="153">
        <f>ROUND(D29*D18,2)</f>
        <v>0</v>
      </c>
      <c r="K29" s="154"/>
      <c r="L29" s="3" t="s">
        <v>22</v>
      </c>
    </row>
    <row r="30" spans="1:12">
      <c r="B30" s="14" t="s">
        <v>137</v>
      </c>
      <c r="C30" s="13"/>
      <c r="D30" s="153">
        <f>12*ROUNDDOWN((ROUND(D29*(30/7),2)/12),0)</f>
        <v>0</v>
      </c>
      <c r="E30" s="154"/>
      <c r="F30" s="15"/>
      <c r="I30" s="14" t="s">
        <v>140</v>
      </c>
      <c r="J30" s="153">
        <f>12*ROUNDDOWN((ROUND(J29*(30/7),2)/12),0)</f>
        <v>0</v>
      </c>
      <c r="K30" s="154"/>
      <c r="L30" s="3"/>
    </row>
    <row r="31" spans="1:12">
      <c r="B31" s="14" t="s">
        <v>138</v>
      </c>
      <c r="C31" s="13"/>
      <c r="D31" s="153">
        <f>D29-(D30/12)</f>
        <v>0</v>
      </c>
      <c r="E31" s="154"/>
      <c r="F31" s="15"/>
      <c r="I31" s="14" t="s">
        <v>138</v>
      </c>
      <c r="J31" s="153">
        <f>J29-(J30/12)</f>
        <v>0</v>
      </c>
      <c r="K31" s="154"/>
      <c r="L31" s="3"/>
    </row>
    <row r="32" spans="1:12">
      <c r="B32" s="14" t="s">
        <v>139</v>
      </c>
      <c r="D32" s="153">
        <f>Input!D19</f>
        <v>0</v>
      </c>
      <c r="E32" s="154"/>
      <c r="I32" s="14" t="s">
        <v>139</v>
      </c>
      <c r="J32" s="153">
        <f>D32</f>
        <v>0</v>
      </c>
      <c r="K32" s="154"/>
    </row>
    <row r="33" spans="2:16">
      <c r="B33" s="14"/>
      <c r="C33" s="13"/>
      <c r="D33" s="35"/>
      <c r="E33" s="35"/>
      <c r="F33" s="3"/>
      <c r="I33" s="14"/>
      <c r="J33" s="35"/>
      <c r="K33" s="35"/>
    </row>
    <row r="34" spans="2:16">
      <c r="B34" s="14"/>
      <c r="C34" s="13"/>
      <c r="D34" s="181"/>
      <c r="E34" s="181"/>
      <c r="F34" s="3"/>
      <c r="I34" s="14" t="s">
        <v>178</v>
      </c>
      <c r="J34" s="153">
        <f>D29-J29</f>
        <v>0</v>
      </c>
      <c r="K34" s="154"/>
      <c r="L34" s="3" t="s">
        <v>179</v>
      </c>
    </row>
    <row r="35" spans="2:16">
      <c r="B35" s="3"/>
      <c r="C35" s="3"/>
    </row>
    <row r="36" spans="2:16">
      <c r="B36" s="5"/>
      <c r="C36" s="5"/>
    </row>
    <row r="37" spans="2:16">
      <c r="B37" s="3"/>
      <c r="C37" s="3"/>
    </row>
    <row r="38" spans="2:16">
      <c r="B38" s="6"/>
      <c r="C38" s="36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</row>
    <row r="39" spans="2:16">
      <c r="B39" s="6"/>
      <c r="C39" s="36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</row>
    <row r="40" spans="2:16">
      <c r="B40" s="3"/>
      <c r="C40" s="70"/>
      <c r="D40" s="109"/>
      <c r="E40" s="157"/>
      <c r="F40" s="167"/>
      <c r="G40" s="160"/>
      <c r="H40" s="160"/>
      <c r="I40" s="39"/>
      <c r="J40" s="160"/>
      <c r="K40" s="160"/>
      <c r="L40" s="157"/>
      <c r="M40" s="167"/>
      <c r="N40" s="110"/>
      <c r="O40" s="110"/>
      <c r="P40" s="110"/>
    </row>
    <row r="41" spans="2:16">
      <c r="B41" s="3"/>
      <c r="C41" s="70"/>
      <c r="D41" s="70"/>
      <c r="E41" s="105"/>
      <c r="F41" s="106"/>
      <c r="G41" s="70"/>
      <c r="H41" s="110"/>
      <c r="I41" s="70"/>
      <c r="J41" s="110"/>
      <c r="K41" s="110"/>
      <c r="L41" s="110"/>
      <c r="M41" s="110"/>
      <c r="N41" s="110"/>
      <c r="O41" s="110"/>
      <c r="P41" s="110"/>
    </row>
    <row r="42" spans="2:16">
      <c r="B42" s="3"/>
      <c r="C42" s="70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</row>
    <row r="43" spans="2:16">
      <c r="B43" s="6"/>
      <c r="C43" s="36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</row>
    <row r="44" spans="2:16">
      <c r="B44" s="6"/>
      <c r="C44" s="36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</row>
    <row r="45" spans="2:16">
      <c r="B45" s="6"/>
      <c r="C45" s="36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</row>
    <row r="46" spans="2:16">
      <c r="B46" s="3"/>
      <c r="C46" s="36"/>
      <c r="D46" s="110"/>
      <c r="E46" s="110"/>
      <c r="F46" s="110"/>
      <c r="G46" s="36"/>
      <c r="H46" s="110"/>
      <c r="I46" s="112"/>
      <c r="J46" s="113"/>
      <c r="K46" s="110"/>
      <c r="L46" s="110"/>
      <c r="M46" s="110"/>
      <c r="N46" s="110"/>
      <c r="O46" s="110"/>
      <c r="P46" s="110"/>
    </row>
    <row r="47" spans="2:16">
      <c r="B47" s="3"/>
      <c r="C47" s="36"/>
      <c r="D47" s="110"/>
      <c r="E47" s="110"/>
      <c r="F47" s="110"/>
      <c r="G47" s="113"/>
      <c r="H47" s="113"/>
      <c r="I47" s="113"/>
      <c r="J47" s="113"/>
      <c r="K47" s="110"/>
      <c r="L47" s="110"/>
      <c r="M47" s="110"/>
      <c r="N47" s="110"/>
      <c r="O47" s="110"/>
      <c r="P47" s="110"/>
    </row>
    <row r="48" spans="2:16">
      <c r="B48" s="3"/>
      <c r="C48" s="36"/>
      <c r="D48" s="110"/>
      <c r="E48" s="110"/>
      <c r="F48" s="110"/>
      <c r="G48" s="113"/>
      <c r="H48" s="113"/>
      <c r="I48" s="113"/>
      <c r="J48" s="113"/>
      <c r="K48" s="110"/>
      <c r="L48" s="110"/>
      <c r="M48" s="110"/>
      <c r="N48" s="110"/>
      <c r="O48" s="110"/>
      <c r="P48" s="110"/>
    </row>
    <row r="49" spans="2:16">
      <c r="B49" s="5"/>
      <c r="C49" s="108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</row>
    <row r="50" spans="2:16">
      <c r="B50" s="6"/>
      <c r="C50" s="36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</row>
    <row r="51" spans="2:16">
      <c r="B51" s="7"/>
      <c r="C51" s="114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</row>
    <row r="52" spans="2:16">
      <c r="B52" s="3"/>
      <c r="C52" s="7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</row>
    <row r="53" spans="2:16">
      <c r="B53" s="3"/>
      <c r="C53" s="70"/>
      <c r="D53" s="109"/>
      <c r="E53" s="157"/>
      <c r="F53" s="167"/>
      <c r="G53" s="158"/>
      <c r="H53" s="160"/>
      <c r="I53" s="39"/>
      <c r="J53" s="160"/>
      <c r="K53" s="160"/>
      <c r="L53" s="157"/>
      <c r="M53" s="167"/>
      <c r="N53" s="110"/>
      <c r="O53" s="110"/>
      <c r="P53" s="110"/>
    </row>
    <row r="54" spans="2:16">
      <c r="B54" s="3"/>
      <c r="C54" s="7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</row>
    <row r="55" spans="2:16">
      <c r="B55" s="3"/>
      <c r="C55" s="38"/>
      <c r="D55" s="115"/>
      <c r="E55" s="157"/>
      <c r="F55" s="167"/>
      <c r="G55" s="160"/>
      <c r="H55" s="160"/>
      <c r="I55" s="39"/>
      <c r="J55" s="160"/>
      <c r="K55" s="160"/>
      <c r="L55" s="162"/>
      <c r="M55" s="162"/>
      <c r="N55" s="110"/>
      <c r="O55" s="110"/>
      <c r="P55" s="110"/>
    </row>
    <row r="56" spans="2:16">
      <c r="B56" s="3"/>
      <c r="C56" s="7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</row>
    <row r="57" spans="2:16">
      <c r="B57" s="3"/>
      <c r="C57" s="70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</row>
    <row r="58" spans="2:16">
      <c r="B58" s="3"/>
      <c r="C58" s="7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</row>
    <row r="59" spans="2:16">
      <c r="B59" s="6"/>
      <c r="C59" s="36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</row>
    <row r="60" spans="2:16">
      <c r="B60" s="6"/>
      <c r="C60" s="36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</row>
    <row r="61" spans="2:16">
      <c r="B61" s="3"/>
      <c r="C61" s="38"/>
      <c r="D61" s="20"/>
      <c r="E61" s="161"/>
      <c r="F61" s="161"/>
      <c r="G61" s="160"/>
      <c r="H61" s="160"/>
      <c r="I61" s="217"/>
      <c r="J61" s="213"/>
      <c r="K61" s="70"/>
      <c r="L61" s="110"/>
      <c r="M61" s="110"/>
      <c r="N61" s="110"/>
      <c r="O61" s="110"/>
      <c r="P61" s="110"/>
    </row>
    <row r="62" spans="2:16">
      <c r="B62" s="3"/>
      <c r="C62" s="70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</row>
    <row r="63" spans="2:16">
      <c r="B63" s="6"/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</row>
    <row r="64" spans="2:16"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</row>
    <row r="65" spans="2:16">
      <c r="C65" s="38"/>
      <c r="D65" s="110"/>
      <c r="E65" s="110"/>
      <c r="F65" s="110"/>
      <c r="G65" s="106"/>
      <c r="H65" s="110"/>
      <c r="I65" s="129"/>
      <c r="J65" s="110"/>
      <c r="K65" s="110"/>
      <c r="L65" s="110"/>
      <c r="M65" s="110"/>
      <c r="N65" s="110"/>
      <c r="O65" s="110"/>
      <c r="P65" s="110"/>
    </row>
    <row r="66" spans="2:16">
      <c r="C66" s="110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</row>
    <row r="67" spans="2:16">
      <c r="B67" s="6"/>
      <c r="C67" s="110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</row>
    <row r="68" spans="2:16"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</row>
    <row r="69" spans="2:16">
      <c r="C69" s="40"/>
      <c r="D69" s="110"/>
      <c r="E69" s="157"/>
      <c r="F69" s="167"/>
      <c r="G69" s="110"/>
      <c r="H69" s="110"/>
      <c r="I69" s="217"/>
      <c r="J69" s="213"/>
      <c r="K69" s="110"/>
      <c r="L69" s="110"/>
      <c r="M69" s="110"/>
      <c r="N69" s="110"/>
      <c r="O69" s="110"/>
      <c r="P69" s="110"/>
    </row>
    <row r="70" spans="2:16">
      <c r="C70" s="110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</row>
    <row r="71" spans="2:16">
      <c r="C71" s="110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</row>
    <row r="72" spans="2:16">
      <c r="B72" s="6"/>
      <c r="C72" s="110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</row>
    <row r="73" spans="2:16">
      <c r="C73" s="110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</row>
    <row r="74" spans="2:16">
      <c r="C74" s="40"/>
      <c r="D74" s="167"/>
      <c r="E74" s="167"/>
      <c r="F74" s="217"/>
      <c r="G74" s="213"/>
      <c r="H74" s="110"/>
      <c r="I74" s="110"/>
      <c r="J74" s="110"/>
      <c r="K74" s="110"/>
      <c r="L74" s="110"/>
      <c r="M74" s="110"/>
      <c r="N74" s="110"/>
      <c r="O74" s="110"/>
      <c r="P74" s="110"/>
    </row>
    <row r="75" spans="2:16"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</row>
    <row r="76" spans="2:16">
      <c r="C76" s="110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</row>
  </sheetData>
  <sheetProtection password="CD6C" sheet="1" objects="1" scenarios="1"/>
  <mergeCells count="41">
    <mergeCell ref="L40:M40"/>
    <mergeCell ref="D6:G6"/>
    <mergeCell ref="J6:L6"/>
    <mergeCell ref="D10:E10"/>
    <mergeCell ref="J10:K10"/>
    <mergeCell ref="D12:E12"/>
    <mergeCell ref="J12:K12"/>
    <mergeCell ref="J20:K20"/>
    <mergeCell ref="F23:G23"/>
    <mergeCell ref="B24:E24"/>
    <mergeCell ref="F24:G24"/>
    <mergeCell ref="D32:E32"/>
    <mergeCell ref="L53:M53"/>
    <mergeCell ref="J34:K34"/>
    <mergeCell ref="L55:M55"/>
    <mergeCell ref="D18:E18"/>
    <mergeCell ref="J18:K18"/>
    <mergeCell ref="D29:E29"/>
    <mergeCell ref="J29:K29"/>
    <mergeCell ref="D34:E34"/>
    <mergeCell ref="E40:F40"/>
    <mergeCell ref="G40:H40"/>
    <mergeCell ref="J40:K40"/>
    <mergeCell ref="D30:E30"/>
    <mergeCell ref="J30:K30"/>
    <mergeCell ref="D31:E31"/>
    <mergeCell ref="J31:K31"/>
    <mergeCell ref="J32:K32"/>
    <mergeCell ref="F74:G74"/>
    <mergeCell ref="D74:E74"/>
    <mergeCell ref="E61:F61"/>
    <mergeCell ref="G61:H61"/>
    <mergeCell ref="I61:J61"/>
    <mergeCell ref="E69:F69"/>
    <mergeCell ref="I69:J69"/>
    <mergeCell ref="E55:F55"/>
    <mergeCell ref="G55:H55"/>
    <mergeCell ref="J55:K55"/>
    <mergeCell ref="E53:F53"/>
    <mergeCell ref="G53:H53"/>
    <mergeCell ref="J53:K53"/>
  </mergeCells>
  <pageMargins left="0.44" right="0.32" top="0.74803149606299213" bottom="0.74803149606299213" header="0.31496062992125984" footer="0.31496062992125984"/>
  <pageSetup paperSize="9" scale="7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</vt:lpstr>
      <vt:lpstr>CER 1995 NRA 55</vt:lpstr>
      <vt:lpstr>CER 1995</vt:lpstr>
      <vt:lpstr>CER 2008</vt:lpstr>
      <vt:lpstr>VER Factors</vt:lpstr>
      <vt:lpstr>CER Factors</vt:lpstr>
      <vt:lpstr>CER 2008 OPTANT</vt:lpstr>
      <vt:lpstr>CER 2015</vt:lpstr>
      <vt:lpstr>'CER 1995'!Print_Area</vt:lpstr>
      <vt:lpstr>'CER 2008'!Print_Area</vt:lpstr>
      <vt:lpstr>'CER 2008 OPTANT'!Print_Area</vt:lpstr>
      <vt:lpstr>'CER 2015'!Print_Area</vt:lpstr>
      <vt:lpstr>Input!Print_Area</vt:lpstr>
    </vt:vector>
  </TitlesOfParts>
  <Company>NHSBSA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stgib</dc:creator>
  <cp:lastModifiedBy>John Twiss</cp:lastModifiedBy>
  <cp:lastPrinted>2016-07-12T07:41:01Z</cp:lastPrinted>
  <dcterms:created xsi:type="dcterms:W3CDTF">2015-10-15T18:57:04Z</dcterms:created>
  <dcterms:modified xsi:type="dcterms:W3CDTF">2016-08-03T09:20:49Z</dcterms:modified>
</cp:coreProperties>
</file>